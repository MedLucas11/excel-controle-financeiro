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xcel-controle-financeiro\"/>
    </mc:Choice>
  </mc:AlternateContent>
  <xr:revisionPtr revIDLastSave="0" documentId="13_ncr:1_{20801022-1501-423A-977B-B9705CDAB109}" xr6:coauthVersionLast="47" xr6:coauthVersionMax="47" xr10:uidLastSave="{00000000-0000-0000-0000-000000000000}"/>
  <bookViews>
    <workbookView xWindow="-120" yWindow="-120" windowWidth="20730" windowHeight="11160" activeTab="4" xr2:uid="{E26D7D3F-C57C-4C65-8A31-A680AD967FE3}"/>
  </bookViews>
  <sheets>
    <sheet name="Cadastro Inicial" sheetId="1" r:id="rId1"/>
    <sheet name="Controle" sheetId="2" r:id="rId2"/>
    <sheet name="Metas" sheetId="4" r:id="rId3"/>
    <sheet name="Fluxo Caixa" sheetId="3" r:id="rId4"/>
    <sheet name="MetaXRealizado" sheetId="6" r:id="rId5"/>
    <sheet name="Dashboard" sheetId="5" r:id="rId6"/>
  </sheets>
  <definedNames>
    <definedName name="_xlnm._FilterDatabase" localSheetId="1" hidden="1">Controle!$A$5:$I$5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4" l="1"/>
  <c r="AJ8" i="6" s="1"/>
  <c r="M8" i="4"/>
  <c r="L8" i="4"/>
  <c r="K8" i="4"/>
  <c r="AA8" i="6" s="1"/>
  <c r="J8" i="4"/>
  <c r="X8" i="6" s="1"/>
  <c r="I8" i="4"/>
  <c r="U8" i="6" s="1"/>
  <c r="H8" i="4"/>
  <c r="G8" i="4"/>
  <c r="O8" i="6" s="1"/>
  <c r="F8" i="4"/>
  <c r="L8" i="6" s="1"/>
  <c r="E8" i="4"/>
  <c r="I8" i="6" s="1"/>
  <c r="D8" i="4"/>
  <c r="F8" i="6" s="1"/>
  <c r="C8" i="4"/>
  <c r="C8" i="6" s="1"/>
  <c r="N6" i="4"/>
  <c r="M6" i="4"/>
  <c r="L6" i="4"/>
  <c r="K6" i="4"/>
  <c r="J6" i="4"/>
  <c r="I6" i="4"/>
  <c r="H6" i="4"/>
  <c r="G6" i="4"/>
  <c r="F6" i="4"/>
  <c r="E6" i="4"/>
  <c r="D6" i="4"/>
  <c r="C6" i="4"/>
  <c r="R8" i="6"/>
  <c r="AA6" i="6"/>
  <c r="O6" i="6"/>
  <c r="C6" i="6"/>
  <c r="C5" i="3"/>
  <c r="AG8" i="6"/>
  <c r="AD8" i="6"/>
  <c r="P8" i="4"/>
  <c r="P6" i="4"/>
  <c r="N13" i="3"/>
  <c r="M13" i="3"/>
  <c r="L13" i="3"/>
  <c r="K13" i="3"/>
  <c r="J13" i="3"/>
  <c r="I13" i="3"/>
  <c r="H13" i="3"/>
  <c r="G13" i="3"/>
  <c r="F13" i="3"/>
  <c r="E13" i="3"/>
  <c r="D13" i="3"/>
  <c r="C13" i="3"/>
  <c r="N12" i="3"/>
  <c r="M12" i="3"/>
  <c r="L12" i="3"/>
  <c r="K12" i="3"/>
  <c r="J12" i="3"/>
  <c r="I12" i="3"/>
  <c r="H12" i="3"/>
  <c r="G12" i="3"/>
  <c r="F12" i="3"/>
  <c r="E12" i="3"/>
  <c r="D12" i="3"/>
  <c r="C12" i="3"/>
  <c r="N7" i="3"/>
  <c r="AK8" i="6" s="1"/>
  <c r="M7" i="3"/>
  <c r="AH8" i="6" s="1"/>
  <c r="L7" i="3"/>
  <c r="AE8" i="6" s="1"/>
  <c r="K7" i="3"/>
  <c r="AB8" i="6" s="1"/>
  <c r="J7" i="3"/>
  <c r="Y8" i="6" s="1"/>
  <c r="I7" i="3"/>
  <c r="V8" i="6" s="1"/>
  <c r="H7" i="3"/>
  <c r="S8" i="6" s="1"/>
  <c r="G7" i="3"/>
  <c r="P8" i="6" s="1"/>
  <c r="F7" i="3"/>
  <c r="M8" i="6" s="1"/>
  <c r="E7" i="3"/>
  <c r="J8" i="6" s="1"/>
  <c r="D7" i="3"/>
  <c r="G8" i="6" s="1"/>
  <c r="C7" i="3"/>
  <c r="D8" i="6" s="1"/>
  <c r="C6" i="3"/>
  <c r="D6" i="6" s="1"/>
  <c r="D6" i="3"/>
  <c r="G6" i="6" s="1"/>
  <c r="E6" i="3"/>
  <c r="J6" i="6" s="1"/>
  <c r="F6" i="3"/>
  <c r="M6" i="6" s="1"/>
  <c r="G6" i="3"/>
  <c r="P6" i="6" s="1"/>
  <c r="H6" i="3"/>
  <c r="S6" i="6" s="1"/>
  <c r="I6" i="3"/>
  <c r="V6" i="6" s="1"/>
  <c r="J6" i="3"/>
  <c r="Y6" i="6" s="1"/>
  <c r="K6" i="3"/>
  <c r="AB6" i="6" s="1"/>
  <c r="L6" i="3"/>
  <c r="AE6" i="6" s="1"/>
  <c r="M6" i="3"/>
  <c r="AH6" i="6" s="1"/>
  <c r="N6" i="3"/>
  <c r="AK6" i="6" s="1"/>
  <c r="F6" i="6" l="1"/>
  <c r="H6" i="6" s="1"/>
  <c r="R6" i="6"/>
  <c r="T6" i="6" s="1"/>
  <c r="AD6" i="6"/>
  <c r="AF6" i="6" s="1"/>
  <c r="I6" i="6"/>
  <c r="K6" i="6" s="1"/>
  <c r="U6" i="6"/>
  <c r="W6" i="6" s="1"/>
  <c r="AG6" i="6"/>
  <c r="AI6" i="6" s="1"/>
  <c r="L6" i="6"/>
  <c r="N6" i="6" s="1"/>
  <c r="X6" i="6"/>
  <c r="Z6" i="6" s="1"/>
  <c r="AJ6" i="6"/>
  <c r="AL6" i="6" s="1"/>
  <c r="E8" i="6"/>
  <c r="AC6" i="6"/>
  <c r="Q6" i="6"/>
  <c r="Z8" i="6"/>
  <c r="AL8" i="6"/>
  <c r="AF8" i="6"/>
  <c r="W8" i="6"/>
  <c r="AI8" i="6"/>
  <c r="E6" i="6"/>
  <c r="AC8" i="6"/>
  <c r="T8" i="6"/>
  <c r="N8" i="6"/>
  <c r="K8" i="6"/>
  <c r="H8" i="6"/>
  <c r="H14" i="3"/>
  <c r="J14" i="3"/>
  <c r="O8" i="4"/>
  <c r="M14" i="3"/>
  <c r="I14" i="3"/>
  <c r="E14" i="3"/>
  <c r="O6" i="4"/>
  <c r="F14" i="3"/>
  <c r="N14" i="3"/>
  <c r="G14" i="3"/>
  <c r="D14" i="3"/>
  <c r="L14" i="3"/>
  <c r="K14" i="3"/>
  <c r="C14" i="3"/>
  <c r="O13" i="3"/>
  <c r="O12" i="3"/>
  <c r="O7" i="3"/>
  <c r="Q8" i="6" s="1"/>
  <c r="O6" i="3"/>
  <c r="M8" i="3"/>
  <c r="I8" i="3"/>
  <c r="E8" i="3"/>
  <c r="K8" i="3"/>
  <c r="G8" i="3"/>
  <c r="H8" i="3"/>
  <c r="L8" i="3"/>
  <c r="D8" i="3"/>
  <c r="J8" i="3"/>
  <c r="F8" i="3"/>
  <c r="N8" i="3"/>
  <c r="C8" i="3"/>
  <c r="O14" i="3" l="1"/>
  <c r="C9" i="3"/>
  <c r="O8" i="3"/>
  <c r="D5" i="3" l="1"/>
  <c r="D9" i="3" l="1"/>
  <c r="E5" i="3"/>
  <c r="E9" i="3" s="1"/>
  <c r="F5" i="3" l="1"/>
  <c r="F9" i="3" s="1"/>
  <c r="G5" i="3" l="1"/>
  <c r="G9" i="3" s="1"/>
  <c r="H5" i="3" l="1"/>
  <c r="H9" i="3" s="1"/>
  <c r="I5" i="3" l="1"/>
  <c r="I9" i="3" s="1"/>
  <c r="J5" i="3" l="1"/>
  <c r="J9" i="3" s="1"/>
  <c r="K5" i="3" l="1"/>
  <c r="K9" i="3" s="1"/>
  <c r="L5" i="3" l="1"/>
  <c r="L9" i="3" s="1"/>
  <c r="M5" i="3" l="1"/>
  <c r="M9" i="3" s="1"/>
  <c r="N5" i="3" l="1"/>
  <c r="N9" i="3" l="1"/>
  <c r="O9" i="3" s="1"/>
  <c r="O5" i="3" a="1"/>
  <c r="O5" i="3" s="1"/>
</calcChain>
</file>

<file path=xl/sharedStrings.xml><?xml version="1.0" encoding="utf-8"?>
<sst xmlns="http://schemas.openxmlformats.org/spreadsheetml/2006/main" count="108" uniqueCount="43">
  <si>
    <t>Receitas</t>
  </si>
  <si>
    <t>Tipo</t>
  </si>
  <si>
    <t>Despesas</t>
  </si>
  <si>
    <t>Formas de Pagamento</t>
  </si>
  <si>
    <t>Contas/Banco</t>
  </si>
  <si>
    <t>Escolha o ano &gt;</t>
  </si>
  <si>
    <t>Saldo Inicial</t>
  </si>
  <si>
    <t>Data</t>
  </si>
  <si>
    <t>Descrição</t>
  </si>
  <si>
    <t>Categoria</t>
  </si>
  <si>
    <t>Valor</t>
  </si>
  <si>
    <t>Forma de Pagamento</t>
  </si>
  <si>
    <t>Banco/Conta</t>
  </si>
  <si>
    <t>Status</t>
  </si>
  <si>
    <t>Observação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</si>
  <si>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</si>
  <si>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</si>
  <si>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</si>
  <si>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</si>
  <si>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</si>
  <si>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</si>
  <si>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</si>
  <si>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</si>
  <si>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</si>
  <si>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</si>
  <si>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</si>
  <si>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</si>
  <si>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Metas de Receita</t>
  </si>
  <si>
    <t>Total</t>
  </si>
  <si>
    <t>%</t>
  </si>
  <si>
    <t>Metas de Despesa</t>
  </si>
  <si>
    <t>Fluxo de Caixa</t>
  </si>
  <si>
    <t>Receita</t>
  </si>
  <si>
    <t>Despesa</t>
  </si>
  <si>
    <t>Saldo do Mês</t>
  </si>
  <si>
    <t>A Receber</t>
  </si>
  <si>
    <t>A Pagar</t>
  </si>
  <si>
    <t>Saldo de Contas</t>
  </si>
  <si>
    <t>Acumulado</t>
  </si>
  <si>
    <t>Mês de Inserção</t>
  </si>
  <si>
    <t>Meta</t>
  </si>
  <si>
    <t>Realizado</t>
  </si>
  <si>
    <t>Diferença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</si>
</sst>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\ #,##0.00"/>
    <numFmt numFmtId="165" formatCode="\R&quot;R$&quot;\ #,##0.00"/>
    <numFmt numFmtId="166" formatCode="\R&quot;R$&quot;\ #,###.00"/>
    <numFmt numFmtId="167" formatCode="m\oed\a"/>
    <numFmt numFmtId="168" formatCode="m\oedyy"/>
    <numFmt numFmtId="169" formatCode="\$#,##0.00"/>
    <numFmt numFmtId="170" formatCode="&quot;R$&quot;#,##0.00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2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10" fontId="6" fillId="2" borderId="1" xfId="0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10" fontId="4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0" fontId="0" fillId="0" borderId="0" xfId="0" applyNumberFormat="1"/>
    <xf numFmtId="164" fontId="4" fillId="5" borderId="0" xfId="0" applyNumberFormat="1" applyFont="1" applyFill="1" applyAlignment="1">
      <alignment horizontal="center" vertical="center"/>
    </xf>
    <xf numFmtId="10" fontId="4" fillId="5" borderId="0" xfId="0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64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5</xdr:row>
      <xdr:rowOff>9523</xdr:rowOff>
    </xdr:from>
    <xdr:to>
      <xdr:col>1</xdr:col>
      <xdr:colOff>504826</xdr:colOff>
      <xdr:row>7</xdr:row>
      <xdr:rowOff>142874</xdr:rowOff>
    </xdr:to>
    <xdr:sp macro="[0]!AbrirFormaPagamen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1A29A7B-45BD-4870-9B11-CAD2FAA97403}"/>
            </a:ext>
          </a:extLst>
        </xdr:cNvPr>
        <xdr:cNvSpPr/>
      </xdr:nvSpPr>
      <xdr:spPr>
        <a:xfrm>
          <a:off x="114301" y="1276348"/>
          <a:ext cx="1638300" cy="51435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Forma de Pagamento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114301</xdr:colOff>
      <xdr:row>8</xdr:row>
      <xdr:rowOff>133350</xdr:rowOff>
    </xdr:from>
    <xdr:to>
      <xdr:col>1</xdr:col>
      <xdr:colOff>504826</xdr:colOff>
      <xdr:row>11</xdr:row>
      <xdr:rowOff>57150</xdr:rowOff>
    </xdr:to>
    <xdr:sp macro="[0]!AbrirCadastroBanc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385861-72D2-4FC9-A195-C4C7748EE39F}"/>
            </a:ext>
          </a:extLst>
        </xdr:cNvPr>
        <xdr:cNvSpPr/>
      </xdr:nvSpPr>
      <xdr:spPr>
        <a:xfrm>
          <a:off x="114301" y="1971675"/>
          <a:ext cx="1638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Conta/Banco</a:t>
          </a:r>
        </a:p>
      </xdr:txBody>
    </xdr:sp>
    <xdr:clientData/>
  </xdr:twoCellAnchor>
  <xdr:twoCellAnchor>
    <xdr:from>
      <xdr:col>0</xdr:col>
      <xdr:colOff>114301</xdr:colOff>
      <xdr:row>2</xdr:row>
      <xdr:rowOff>0</xdr:rowOff>
    </xdr:from>
    <xdr:to>
      <xdr:col>1</xdr:col>
      <xdr:colOff>514350</xdr:colOff>
      <xdr:row>4</xdr:row>
      <xdr:rowOff>38100</xdr:rowOff>
    </xdr:to>
    <xdr:sp macro="[0]!AbrirReceita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0C67BC-CD3B-C424-ECBE-85E1E4EB36FA}"/>
            </a:ext>
          </a:extLst>
        </xdr:cNvPr>
        <xdr:cNvSpPr/>
      </xdr:nvSpPr>
      <xdr:spPr>
        <a:xfrm>
          <a:off x="114301" y="581025"/>
          <a:ext cx="1647824" cy="5334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 </a:t>
          </a:r>
          <a:r>
            <a:rPr lang="pt-BR" sz="1200" b="1" kern="1200">
              <a:solidFill>
                <a:sysClr val="windowText" lastClr="000000"/>
              </a:solidFill>
            </a:rPr>
            <a:t>Receita/Despesa</a:t>
          </a:r>
        </a:p>
        <a:p>
          <a:pPr algn="ctr"/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609600</xdr:colOff>
      <xdr:row>1</xdr:row>
      <xdr:rowOff>38101</xdr:rowOff>
    </xdr:from>
    <xdr:to>
      <xdr:col>1</xdr:col>
      <xdr:colOff>733425</xdr:colOff>
      <xdr:row>11</xdr:row>
      <xdr:rowOff>152401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7C2E191-CA4E-4D2B-96D4-3711BED15E1A}"/>
            </a:ext>
          </a:extLst>
        </xdr:cNvPr>
        <xdr:cNvSpPr/>
      </xdr:nvSpPr>
      <xdr:spPr>
        <a:xfrm>
          <a:off x="1857375" y="428626"/>
          <a:ext cx="123825" cy="21336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19050</xdr:colOff>
      <xdr:row>11</xdr:row>
      <xdr:rowOff>104775</xdr:rowOff>
    </xdr:from>
    <xdr:to>
      <xdr:col>1</xdr:col>
      <xdr:colOff>733424</xdr:colOff>
      <xdr:row>12</xdr:row>
      <xdr:rowOff>9526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FD0B7D-50C3-A2B5-80ED-342CD6256ED6}"/>
            </a:ext>
          </a:extLst>
        </xdr:cNvPr>
        <xdr:cNvSpPr/>
      </xdr:nvSpPr>
      <xdr:spPr>
        <a:xfrm>
          <a:off x="19050" y="2514600"/>
          <a:ext cx="1962149" cy="95251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133350</xdr:colOff>
      <xdr:row>13</xdr:row>
      <xdr:rowOff>114299</xdr:rowOff>
    </xdr:from>
    <xdr:to>
      <xdr:col>1</xdr:col>
      <xdr:colOff>523875</xdr:colOff>
      <xdr:row>16</xdr:row>
      <xdr:rowOff>66674</xdr:rowOff>
    </xdr:to>
    <xdr:sp macro="[0]!NavegarControl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3CB98B1-FE33-47C3-89DD-D3594C6DB5DD}"/>
            </a:ext>
          </a:extLst>
        </xdr:cNvPr>
        <xdr:cNvSpPr/>
      </xdr:nvSpPr>
      <xdr:spPr>
        <a:xfrm>
          <a:off x="133350" y="2905124"/>
          <a:ext cx="1638300" cy="5238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Controle</a:t>
          </a:r>
          <a:r>
            <a:rPr lang="pt-BR" sz="1200" b="1" kern="1200" baseline="0">
              <a:solidFill>
                <a:sysClr val="windowText" lastClr="000000"/>
              </a:solidFill>
            </a:rPr>
            <a:t> de Transações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104775</xdr:colOff>
      <xdr:row>12</xdr:row>
      <xdr:rowOff>47625</xdr:rowOff>
    </xdr:from>
    <xdr:to>
      <xdr:col>0</xdr:col>
      <xdr:colOff>1000126</xdr:colOff>
      <xdr:row>13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2FEE9FD6-8BB8-4CCF-90A1-A95065B3D051}"/>
            </a:ext>
          </a:extLst>
        </xdr:cNvPr>
        <xdr:cNvSpPr txBox="1"/>
      </xdr:nvSpPr>
      <xdr:spPr>
        <a:xfrm>
          <a:off x="104775" y="264795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76200</xdr:rowOff>
    </xdr:from>
    <xdr:to>
      <xdr:col>1</xdr:col>
      <xdr:colOff>1000125</xdr:colOff>
      <xdr:row>2</xdr:row>
      <xdr:rowOff>161925</xdr:rowOff>
    </xdr:to>
    <xdr:sp macro="[0]!AbrirTrans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7EFB75B-D476-4FC9-8AD5-BF6894CB23C8}"/>
            </a:ext>
          </a:extLst>
        </xdr:cNvPr>
        <xdr:cNvSpPr/>
      </xdr:nvSpPr>
      <xdr:spPr>
        <a:xfrm>
          <a:off x="228600" y="266700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Transação</a:t>
          </a:r>
        </a:p>
      </xdr:txBody>
    </xdr:sp>
    <xdr:clientData/>
  </xdr:twoCellAnchor>
  <xdr:twoCellAnchor>
    <xdr:from>
      <xdr:col>2</xdr:col>
      <xdr:colOff>342900</xdr:colOff>
      <xdr:row>1</xdr:row>
      <xdr:rowOff>66675</xdr:rowOff>
    </xdr:from>
    <xdr:to>
      <xdr:col>3</xdr:col>
      <xdr:colOff>1114425</xdr:colOff>
      <xdr:row>2</xdr:row>
      <xdr:rowOff>152400</xdr:rowOff>
    </xdr:to>
    <xdr:sp macro="[0]!Navegar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D2DA60-E173-428B-8B30-B0C3A7CF1EDE}"/>
            </a:ext>
          </a:extLst>
        </xdr:cNvPr>
        <xdr:cNvSpPr/>
      </xdr:nvSpPr>
      <xdr:spPr>
        <a:xfrm>
          <a:off x="2838450" y="257175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2</xdr:col>
      <xdr:colOff>38099</xdr:colOff>
      <xdr:row>0</xdr:row>
      <xdr:rowOff>19051</xdr:rowOff>
    </xdr:from>
    <xdr:to>
      <xdr:col>2</xdr:col>
      <xdr:colOff>159700</xdr:colOff>
      <xdr:row>3</xdr:row>
      <xdr:rowOff>176812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4EBA5CD-3AC8-0CD1-9807-F7823816BF9C}"/>
            </a:ext>
          </a:extLst>
        </xdr:cNvPr>
        <xdr:cNvSpPr/>
      </xdr:nvSpPr>
      <xdr:spPr>
        <a:xfrm>
          <a:off x="2536273" y="19051"/>
          <a:ext cx="121601" cy="95056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</xdr:col>
      <xdr:colOff>276224</xdr:colOff>
      <xdr:row>0</xdr:row>
      <xdr:rowOff>0</xdr:rowOff>
    </xdr:from>
    <xdr:to>
      <xdr:col>2</xdr:col>
      <xdr:colOff>1171575</xdr:colOff>
      <xdr:row>1</xdr:row>
      <xdr:rowOff>57150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2E527035-1059-8E36-9CD5-1BB55B361A37}"/>
            </a:ext>
          </a:extLst>
        </xdr:cNvPr>
        <xdr:cNvSpPr txBox="1"/>
      </xdr:nvSpPr>
      <xdr:spPr>
        <a:xfrm>
          <a:off x="2771774" y="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C61D-B0BD-495D-AB35-14B5C185B8F4}">
  <sheetPr codeName="Planilha1"/>
  <dimension ref="A1:P8"/>
  <sheetViews>
    <sheetView showGridLines="0" workbookViewId="0">
      <selection activeCell="B1" sqref="B1"/>
    </sheetView>
  </sheetViews>
  <sheetFormatPr defaultRowHeight="15" x14ac:dyDescent="0.25"/>
  <cols>
    <col min="1" max="1" width="18.7109375" customWidth="1"/>
    <col min="2" max="2" width="15.7109375" customWidth="1"/>
    <col min="3" max="3" width="9" bestFit="1" customWidth="1"/>
    <col min="4" max="4" width="11.7109375" customWidth="1"/>
    <col min="5" max="5" width="11.85546875" customWidth="1"/>
    <col min="6" max="6" width="9.7109375" bestFit="1" customWidth="1"/>
    <col min="7" max="7" width="13.42578125" customWidth="1"/>
    <col min="8" max="8" width="10.7109375" customWidth="1"/>
    <col min="9" max="9" width="23.140625" bestFit="1" customWidth="1"/>
    <col min="10" max="10" width="9.140625" customWidth="1"/>
    <col min="11" max="11" width="14.7109375" bestFit="1" customWidth="1"/>
    <col min="12" max="12" width="17.42578125" customWidth="1"/>
    <col min="13" max="13" width="16.85546875" bestFit="1" customWidth="1"/>
  </cols>
  <sheetData>
    <row r="1" spans="1:16" ht="30.75" customHeight="1" x14ac:dyDescent="0.25">
      <c r="A1" s="2" t="s">
        <v>5</v>
      </c>
      <c r="B1" s="3">
        <v>2025</v>
      </c>
      <c r="L1" s="4"/>
    </row>
    <row r="2" spans="1:16" x14ac:dyDescent="0.25">
      <c r="L2" s="4"/>
    </row>
    <row r="3" spans="1:16" ht="24" customHeight="1" x14ac:dyDescent="0.25">
      <c r="C3" s="5" t="s">
        <v>0</v>
      </c>
      <c r="D3" s="5" t="s">
        <v>1</v>
      </c>
      <c r="E3" s="1"/>
      <c r="F3" s="5" t="s">
        <v>2</v>
      </c>
      <c r="G3" s="5" t="s">
        <v>1</v>
      </c>
      <c r="H3" s="1"/>
      <c r="I3" s="5" t="s">
        <v>3</v>
      </c>
      <c r="J3" s="1"/>
      <c r="K3" s="5" t="s">
        <v>4</v>
      </c>
      <c r="L3" s="6" t="s">
        <v>6</v>
      </c>
      <c r="M3" s="6" t="s">
        <v>39</v>
      </c>
    </row>
    <row r="8" spans="1:16" x14ac:dyDescent="0.25">
      <c r="B8" s="12"/>
      <c r="N8" s="40"/>
      <c r="O8" s="40"/>
      <c r="P8" s="41"/>
    </row>
  </sheetData>
  <dataValidations count="1">
    <dataValidation type="list" allowBlank="1" showInputMessage="1" showErrorMessage="1" sqref="B1" xr:uid="{01D65C10-EC9B-49A1-B697-3E57426A2EAC}">
      <formula1>"2025,2026,2027,2028,2029,2030"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5A6F-C55E-4193-ACDC-0366CDE10185}">
  <sheetPr codeName="Planilha2"/>
  <dimension ref="A1:I5"/>
  <sheetViews>
    <sheetView showGridLines="0" zoomScaleNormal="100" workbookViewId="0">
      <selection activeCell="A6" sqref="A6"/>
    </sheetView>
  </sheetViews>
  <sheetFormatPr defaultRowHeight="15" x14ac:dyDescent="0.25"/>
  <cols>
    <col min="1" max="5" width="18.7109375" customWidth="1"/>
    <col min="6" max="6" width="26.7109375" customWidth="1"/>
    <col min="7" max="9" width="18.7109375" customWidth="1"/>
  </cols>
  <sheetData>
    <row r="1" spans="1:9" x14ac:dyDescent="0.25">
      <c r="A1" s="7"/>
    </row>
    <row r="2" spans="1:9" ht="32.25" customHeight="1" x14ac:dyDescent="0.25">
      <c r="A2" s="7"/>
    </row>
    <row r="3" spans="1:9" x14ac:dyDescent="0.25">
      <c r="A3" s="7"/>
    </row>
    <row r="4" spans="1:9" x14ac:dyDescent="0.25">
      <c r="A4" s="7"/>
    </row>
    <row r="5" spans="1:9" ht="32.25" customHeight="1" x14ac:dyDescent="0.25">
      <c r="A5" s="8" t="s">
        <v>7</v>
      </c>
      <c r="B5" s="5" t="s">
        <v>8</v>
      </c>
      <c r="C5" s="5" t="s">
        <v>9</v>
      </c>
      <c r="D5" s="5" t="s">
        <v>1</v>
      </c>
      <c r="E5" s="5" t="s">
        <v>10</v>
      </c>
      <c r="F5" s="5" t="s">
        <v>11</v>
      </c>
      <c r="G5" s="5" t="s">
        <v>12</v>
      </c>
      <c r="H5" s="5" t="s">
        <v>14</v>
      </c>
      <c r="I5" s="5" t="s">
        <v>13</v>
      </c>
    </row>
  </sheetData>
  <autoFilter ref="A5:I5" xr:uid="{64575A6F-C55E-4193-ACDC-0366CDE10185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CB4A-9C20-4300-9725-A8F558A60DE5}">
  <sheetPr codeName="Planilha3"/>
  <dimension ref="B2:P162"/>
  <sheetViews>
    <sheetView showGridLines="0" zoomScale="86" zoomScaleNormal="86" workbookViewId="0">
      <selection activeCell="E7" sqref="E7"/>
    </sheetView>
  </sheetViews>
  <sheetFormatPr defaultRowHeight="15" x14ac:dyDescent="0.25"/>
  <cols>
    <col min="1" max="1" width="3.42578125" customWidth="1"/>
    <col min="2" max="2" width="17.7109375" bestFit="1" customWidth="1"/>
    <col min="3" max="15" width="13.7109375" style="20" customWidth="1"/>
    <col min="16" max="16" width="11.140625" style="42" customWidth="1"/>
  </cols>
  <sheetData>
    <row r="2" spans="2:16" x14ac:dyDescent="0.25">
      <c r="B2" s="14"/>
    </row>
    <row r="4" spans="2:16" ht="13.5" customHeight="1" x14ac:dyDescent="0.25"/>
    <row r="5" spans="2:16" ht="25.5" customHeight="1" x14ac:dyDescent="0.25">
      <c r="B5" s="9" t="s">
        <v>9</v>
      </c>
      <c r="C5" s="38" t="s">
        <v>15</v>
      </c>
      <c r="D5" s="38" t="s">
        <v>16</v>
      </c>
      <c r="E5" s="38" t="s">
        <v>17</v>
      </c>
      <c r="F5" s="38" t="s">
        <v>18</v>
      </c>
      <c r="G5" s="38" t="s">
        <v>19</v>
      </c>
      <c r="H5" s="38" t="s">
        <v>20</v>
      </c>
      <c r="I5" s="38" t="s">
        <v>21</v>
      </c>
      <c r="J5" s="38" t="s">
        <v>22</v>
      </c>
      <c r="K5" s="38" t="s">
        <v>23</v>
      </c>
      <c r="L5" s="38" t="s">
        <v>24</v>
      </c>
      <c r="M5" s="38" t="s">
        <v>25</v>
      </c>
      <c r="N5" s="38" t="s">
        <v>26</v>
      </c>
      <c r="O5" s="38" t="s">
        <v>28</v>
      </c>
      <c r="P5" s="17" t="s">
        <v>29</v>
      </c>
    </row>
    <row r="6" spans="2:16" ht="26.25" customHeight="1" x14ac:dyDescent="0.25">
      <c r="B6" s="11" t="s">
        <v>27</v>
      </c>
      <c r="C6" s="15">
        <f>SUM($C$7:$C$7)</f>
        <v>0</v>
      </c>
      <c r="D6" s="15">
        <f>SUM($D$7:$D$7)</f>
        <v>0</v>
      </c>
      <c r="E6" s="15">
        <f>SUM($E$7:$E$7)</f>
        <v>0</v>
      </c>
      <c r="F6" s="15">
        <f>SUM($F$7:$F$7)</f>
        <v>0</v>
      </c>
      <c r="G6" s="15">
        <f>SUM($G$7:$G$7)</f>
        <v>0</v>
      </c>
      <c r="H6" s="15">
        <f>SUM($H$7:$H$7)</f>
        <v>0</v>
      </c>
      <c r="I6" s="15">
        <f>SUM($I$7:$I$7)</f>
        <v>0</v>
      </c>
      <c r="J6" s="15">
        <f>SUM($J$7:$J$7)</f>
        <v>0</v>
      </c>
      <c r="K6" s="15">
        <f>SUM($K$7:$K$7)</f>
        <v>0</v>
      </c>
      <c r="L6" s="15">
        <f>SUM($L$7:$L$7)</f>
        <v>0</v>
      </c>
      <c r="M6" s="15">
        <f>SUM($M$7:$M$7)</f>
        <v>0</v>
      </c>
      <c r="N6" s="15">
        <f>SUM($N$7:$N$7)</f>
        <v>0</v>
      </c>
      <c r="O6" s="15">
        <f>SUM(C6:N6)</f>
        <v>0</v>
      </c>
      <c r="P6" s="18">
        <f>1</f>
        <v>1</v>
      </c>
    </row>
    <row r="8" spans="2:16" s="14" customFormat="1" ht="26.25" customHeight="1" x14ac:dyDescent="0.25">
      <c r="B8" s="10" t="s">
        <v>30</v>
      </c>
      <c r="C8" s="16">
        <f>SUM($C$10:$C$10)</f>
        <v>0</v>
      </c>
      <c r="D8" s="16">
        <f>SUM($D$10:$D$10)</f>
        <v>0</v>
      </c>
      <c r="E8" s="16">
        <f>SUM($E$10:$E$10)</f>
        <v>0</v>
      </c>
      <c r="F8" s="16">
        <f>SUM($F$10:$F$10)</f>
        <v>0</v>
      </c>
      <c r="G8" s="16">
        <f>SUM($G$10:$G$10)</f>
        <v>0</v>
      </c>
      <c r="H8" s="16">
        <f>SUM($H$10:$H$10)</f>
        <v>0</v>
      </c>
      <c r="I8" s="16">
        <f>SUM($I$10:$I$10)</f>
        <v>0</v>
      </c>
      <c r="J8" s="16">
        <f>SUM($J$10:$J$10)</f>
        <v>0</v>
      </c>
      <c r="K8" s="16">
        <f>SUM($K$10:$K$10)</f>
        <v>0</v>
      </c>
      <c r="L8" s="16">
        <f>SUM($L$10:$L$10)</f>
        <v>0</v>
      </c>
      <c r="M8" s="16">
        <f>SUM($M$10:$M$10)</f>
        <v>0</v>
      </c>
      <c r="N8" s="16">
        <f>SUM($N$10:$N$10)</f>
        <v>0</v>
      </c>
      <c r="O8" s="16">
        <f>SUM($C$8:$N$8)</f>
        <v>0</v>
      </c>
      <c r="P8" s="19">
        <f>1</f>
        <v>1</v>
      </c>
    </row>
    <row r="9" spans="2:16" ht="15" customHeight="1" x14ac:dyDescent="0.25"/>
    <row r="10" spans="2:16" x14ac:dyDescent="0.25">
      <c r="C10"/>
      <c r="D10"/>
      <c r="E10"/>
      <c r="F10"/>
      <c r="G10"/>
      <c r="H10"/>
      <c r="I10"/>
      <c r="J10"/>
      <c r="K10"/>
      <c r="L10"/>
      <c r="M10"/>
      <c r="N10"/>
      <c r="O10"/>
      <c r="P10"/>
    </row>
    <row r="11" spans="2:16" x14ac:dyDescent="0.25"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2" spans="2:16" ht="15" customHeight="1" x14ac:dyDescent="0.25"/>
    <row r="13" spans="2:16" ht="15" customHeight="1" x14ac:dyDescent="0.25"/>
    <row r="14" spans="2:16" ht="15" customHeight="1" x14ac:dyDescent="0.25"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</row>
    <row r="15" spans="2:16" ht="15" customHeight="1" x14ac:dyDescent="0.25"/>
    <row r="16" spans="2:16" x14ac:dyDescent="0.25"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3:16" ht="15" customHeight="1" x14ac:dyDescent="0.25"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3:16" ht="15" customHeight="1" x14ac:dyDescent="0.25"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3:16" ht="15" customHeight="1" x14ac:dyDescent="0.25"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3:16" x14ac:dyDescent="0.25"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3:16" x14ac:dyDescent="0.25"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3:16" x14ac:dyDescent="0.25"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</row>
    <row r="24" spans="3:16" x14ac:dyDescent="0.25"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3:16" x14ac:dyDescent="0.25"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3:16" x14ac:dyDescent="0.25"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3:16" x14ac:dyDescent="0.25"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9"/>
      <c r="P27" s="39"/>
    </row>
    <row r="28" spans="3:16" x14ac:dyDescent="0.25"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9"/>
      <c r="P28" s="39"/>
    </row>
    <row r="29" spans="3:16" x14ac:dyDescent="0.25"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9"/>
      <c r="P29" s="39"/>
    </row>
    <row r="30" spans="3:16" x14ac:dyDescent="0.25"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9"/>
      <c r="P30" s="39"/>
    </row>
    <row r="31" spans="3:16" x14ac:dyDescent="0.25"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9"/>
      <c r="P31" s="39"/>
    </row>
    <row r="32" spans="3:16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9"/>
      <c r="P32" s="39"/>
    </row>
    <row r="34" spans="3:16" x14ac:dyDescent="0.25">
      <c r="C34"/>
      <c r="D34"/>
      <c r="E34"/>
      <c r="F34"/>
      <c r="G34"/>
      <c r="H34"/>
      <c r="I34"/>
      <c r="J34"/>
      <c r="K34"/>
      <c r="L34"/>
      <c r="M34"/>
      <c r="N34"/>
      <c r="O34" s="49"/>
      <c r="P34"/>
    </row>
    <row r="35" spans="3:16" x14ac:dyDescent="0.25">
      <c r="C35"/>
      <c r="D35"/>
      <c r="E35"/>
      <c r="F35"/>
      <c r="G35"/>
      <c r="H35"/>
      <c r="I35"/>
      <c r="J35"/>
      <c r="K35"/>
      <c r="L35"/>
      <c r="M35"/>
      <c r="N35"/>
      <c r="O35" s="49"/>
      <c r="P35"/>
    </row>
    <row r="91" spans="2:2" x14ac:dyDescent="0.25">
      <c r="B91" s="12"/>
    </row>
    <row r="92" spans="2:2" x14ac:dyDescent="0.25">
      <c r="B92" s="12"/>
    </row>
    <row r="93" spans="2:2" x14ac:dyDescent="0.25">
      <c r="B93" s="12"/>
    </row>
    <row r="94" spans="2:2" x14ac:dyDescent="0.25">
      <c r="B94" s="12"/>
    </row>
    <row r="95" spans="2:2" x14ac:dyDescent="0.25">
      <c r="B95" s="12"/>
    </row>
    <row r="96" spans="2:2" x14ac:dyDescent="0.25">
      <c r="B96" s="12"/>
    </row>
    <row r="97" spans="2:2" x14ac:dyDescent="0.25">
      <c r="B97" s="12"/>
    </row>
    <row r="98" spans="2:2" x14ac:dyDescent="0.25">
      <c r="B98" s="12"/>
    </row>
    <row r="99" spans="2:2" x14ac:dyDescent="0.25">
      <c r="B99" s="12"/>
    </row>
    <row r="114" spans="2:2" x14ac:dyDescent="0.25">
      <c r="B114" s="12"/>
    </row>
    <row r="115" spans="2:2" x14ac:dyDescent="0.25">
      <c r="B115" s="12"/>
    </row>
    <row r="116" spans="2:2" x14ac:dyDescent="0.25">
      <c r="B116" s="12"/>
    </row>
    <row r="117" spans="2:2" x14ac:dyDescent="0.25">
      <c r="B117" s="12"/>
    </row>
    <row r="118" spans="2:2" x14ac:dyDescent="0.25">
      <c r="B118" s="12"/>
    </row>
    <row r="119" spans="2:2" x14ac:dyDescent="0.25">
      <c r="B119" s="12"/>
    </row>
    <row r="120" spans="2:2" x14ac:dyDescent="0.25">
      <c r="B120" s="12"/>
    </row>
    <row r="121" spans="2:2" x14ac:dyDescent="0.25">
      <c r="B121" s="12"/>
    </row>
    <row r="122" spans="2:2" x14ac:dyDescent="0.25">
      <c r="B122" s="12"/>
    </row>
    <row r="123" spans="2:2" x14ac:dyDescent="0.25">
      <c r="B123" s="12"/>
    </row>
    <row r="124" spans="2:2" x14ac:dyDescent="0.25">
      <c r="B124" s="12"/>
    </row>
    <row r="125" spans="2:2" x14ac:dyDescent="0.25">
      <c r="B125" s="12"/>
    </row>
    <row r="126" spans="2:2" x14ac:dyDescent="0.25">
      <c r="B126" s="12"/>
    </row>
    <row r="127" spans="2:2" x14ac:dyDescent="0.25">
      <c r="B127" s="12"/>
    </row>
    <row r="145" spans="2:2" x14ac:dyDescent="0.25">
      <c r="B145" s="12"/>
    </row>
    <row r="146" spans="2:2" x14ac:dyDescent="0.25">
      <c r="B146" s="12"/>
    </row>
    <row r="148" spans="2:2" x14ac:dyDescent="0.25">
      <c r="B148" s="12"/>
    </row>
    <row r="149" spans="2:2" x14ac:dyDescent="0.25">
      <c r="B149" s="12"/>
    </row>
    <row r="150" spans="2:2" x14ac:dyDescent="0.25">
      <c r="B150" s="12"/>
    </row>
    <row r="151" spans="2:2" x14ac:dyDescent="0.25">
      <c r="B151" s="12"/>
    </row>
    <row r="152" spans="2:2" x14ac:dyDescent="0.25">
      <c r="B152" s="12"/>
    </row>
    <row r="153" spans="2:2" x14ac:dyDescent="0.25">
      <c r="B153" s="12"/>
    </row>
    <row r="154" spans="2:2" x14ac:dyDescent="0.25">
      <c r="B154" s="12"/>
    </row>
    <row r="155" spans="2:2" x14ac:dyDescent="0.25">
      <c r="B155" s="13"/>
    </row>
    <row r="156" spans="2:2" x14ac:dyDescent="0.25">
      <c r="B156" s="12"/>
    </row>
    <row r="157" spans="2:2" x14ac:dyDescent="0.25">
      <c r="B157" s="12"/>
    </row>
    <row r="158" spans="2:2" x14ac:dyDescent="0.25">
      <c r="B158" s="12"/>
    </row>
    <row r="159" spans="2:2" x14ac:dyDescent="0.25">
      <c r="B159" s="12"/>
    </row>
    <row r="160" spans="2:2" x14ac:dyDescent="0.25">
      <c r="B160" s="12"/>
    </row>
    <row r="161" spans="2:2" x14ac:dyDescent="0.25">
      <c r="B161" s="12"/>
    </row>
    <row r="162" spans="2:2" x14ac:dyDescent="0.25">
      <c r="B162" s="12"/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F377B-8287-4731-90B4-2489A2404817}">
  <sheetPr codeName="Planilha4"/>
  <dimension ref="B4:O14"/>
  <sheetViews>
    <sheetView showGridLines="0" zoomScale="87" zoomScaleNormal="87" workbookViewId="0">
      <selection activeCell="O5" sqref="O5"/>
    </sheetView>
  </sheetViews>
  <sheetFormatPr defaultRowHeight="15" x14ac:dyDescent="0.25"/>
  <cols>
    <col min="1" max="1" width="3.5703125" customWidth="1"/>
    <col min="2" max="2" width="15.85546875" customWidth="1"/>
    <col min="3" max="15" width="13.7109375" customWidth="1"/>
  </cols>
  <sheetData>
    <row r="4" spans="2:15" ht="30.75" customHeight="1" x14ac:dyDescent="0.25">
      <c r="B4" s="29" t="s">
        <v>31</v>
      </c>
      <c r="C4" s="30" t="s">
        <v>15</v>
      </c>
      <c r="D4" s="29" t="s">
        <v>16</v>
      </c>
      <c r="E4" s="29" t="s">
        <v>17</v>
      </c>
      <c r="F4" s="29" t="s">
        <v>18</v>
      </c>
      <c r="G4" s="29" t="s">
        <v>19</v>
      </c>
      <c r="H4" s="29" t="s">
        <v>20</v>
      </c>
      <c r="I4" s="29" t="s">
        <v>21</v>
      </c>
      <c r="J4" s="29" t="s">
        <v>22</v>
      </c>
      <c r="K4" s="29" t="s">
        <v>23</v>
      </c>
      <c r="L4" s="29" t="s">
        <v>24</v>
      </c>
      <c r="M4" s="29" t="s">
        <v>25</v>
      </c>
      <c r="N4" s="29" t="s">
        <v>26</v>
      </c>
      <c r="O4" s="29" t="s">
        <v>28</v>
      </c>
    </row>
    <row r="5" spans="2:15" ht="20.100000000000001" customHeight="1" x14ac:dyDescent="0.25">
      <c r="B5" s="22" t="s">
        <v>6</v>
      </c>
      <c r="C5" s="21">
        <f>SUMIF('Cadastro Inicial'!$M:$M,"Janeiro",'Cadastro Inicial'!$L:$L)</f>
        <v>0</v>
      </c>
      <c r="D5" s="21">
        <f ca="1">SUMIF('Cadastro Inicial'!$M:$M,"Fevereiro",'Cadastro Inicial'!$L:$L) + C9</f>
        <v>0</v>
      </c>
      <c r="E5" s="21">
        <f ca="1">SUMIF('Cadastro Inicial'!$M:$M,"Março",'Cadastro Inicial'!$L:$L) + D9</f>
        <v>0</v>
      </c>
      <c r="F5" s="21">
        <f ca="1">SUMIF('Cadastro Inicial'!$M:$M,"Abril",'Cadastro Inicial'!$L:$L) + E9</f>
        <v>0</v>
      </c>
      <c r="G5" s="21">
        <f ca="1">SUMIF('Cadastro Inicial'!$M:$M,"Maio",'Cadastro Inicial'!$L:$L) + F9</f>
        <v>0</v>
      </c>
      <c r="H5" s="21">
        <f ca="1">SUMIF('Cadastro Inicial'!$M:$M,"Junho",'Cadastro Inicial'!$L:$L) + G9</f>
        <v>0</v>
      </c>
      <c r="I5" s="21">
        <f ca="1">SUMIF('Cadastro Inicial'!$M:$M,"Julho",'Cadastro Inicial'!$L:$L) + H9</f>
        <v>0</v>
      </c>
      <c r="J5" s="21">
        <f ca="1">SUMIF('Cadastro Inicial'!$M:$M,"Agosto",'Cadastro Inicial'!$L:$L) + I9</f>
        <v>0</v>
      </c>
      <c r="K5" s="21">
        <f ca="1">SUMIF('Cadastro Inicial'!$M:$M,"Setembro",'Cadastro Inicial'!$L:$L) + J9</f>
        <v>0</v>
      </c>
      <c r="L5" s="21">
        <f ca="1">SUMIF('Cadastro Inicial'!$M:$M,"Outubro",'Cadastro Inicial'!$L:$L) + K9</f>
        <v>0</v>
      </c>
      <c r="M5" s="21">
        <f ca="1">SUMIF('Cadastro Inicial'!$M:$M,"Novembro",'Cadastro Inicial'!$L:$L) + L9</f>
        <v>0</v>
      </c>
      <c r="N5" s="21">
        <f ca="1">SUMIF('Cadastro Inicial'!$M:$M,"Dezembro",'Cadastro Inicial'!$L:$L) + M9</f>
        <v>0</v>
      </c>
      <c r="O5" s="31" t="e">
        <f t="array" aca="1" ref="O5" ca="1">INDEX(C5:N5, MATCH(1,(C5:N5&gt;0)*(C5:N5&lt;&gt;""), 0))</f>
        <v>#N/A</v>
      </c>
    </row>
    <row r="6" spans="2:15" ht="20.100000000000001" customHeight="1" x14ac:dyDescent="0.25">
      <c r="B6" s="23" t="s">
        <v>32</v>
      </c>
      <c r="C6" s="21">
        <f ca="1">SUMIFS(Controle!$E:$E,Controle!$A:$A,"&gt;=" &amp;DATE(YEAR(NOW()),1,1),Controle!$A:$A,"&lt;"&amp;DATE(YEAR(NOW()),2,1),Controle!$I:$I,"Pago",Controle!$D:$D,"Receita")</f>
        <v>0</v>
      </c>
      <c r="D6" s="21">
        <f ca="1">SUMIFS(Controle!$E:$E,Controle!$A:$A,"&gt;=" &amp;DATE(YEAR(NOW()),2,1),Controle!$A:$A,"&lt;"&amp;DATE(YEAR(NOW()),3,1),Controle!$I:$I,"Pago",Controle!$D:$D,"Receita")</f>
        <v>0</v>
      </c>
      <c r="E6" s="21">
        <f ca="1">SUMIFS(Controle!$E:$E,Controle!$A:$A,"&gt;=" &amp;DATE(YEAR(NOW()),3,1),Controle!$A:$A,"&lt;"&amp;DATE(YEAR(NOW()),4,1),Controle!$I:$I,"Pago",Controle!$D:$D,"Receita")</f>
        <v>0</v>
      </c>
      <c r="F6" s="21">
        <f ca="1">SUMIFS(Controle!$E:$E,Controle!$A:$A,"&gt;=" &amp;DATE(YEAR(NOW()),4,1),Controle!$A:$A,"&lt;"&amp;DATE(YEAR(NOW()),5,1),Controle!$I:$I,"Pago",Controle!$D:$D,"Receita")</f>
        <v>0</v>
      </c>
      <c r="G6" s="21">
        <f ca="1">SUMIFS(Controle!$E:$E,Controle!$A:$A,"&gt;=" &amp;DATE(YEAR(NOW()),5,1),Controle!$A:$A,"&lt;"&amp;DATE(YEAR(NOW()),6,1),Controle!$I:$I,"Pago",Controle!$D:$D,"Receita")</f>
        <v>0</v>
      </c>
      <c r="H6" s="21">
        <f ca="1">SUMIFS(Controle!$E:$E,Controle!$A:$A,"&gt;=" &amp;DATE(YEAR(NOW()),6,1),Controle!$A:$A,"&lt;"&amp;DATE(YEAR(NOW()),7,1),Controle!$I:$I,"Pago",Controle!$D:$D,"Receita")</f>
        <v>0</v>
      </c>
      <c r="I6" s="21">
        <f ca="1">SUMIFS(Controle!$E:$E,Controle!$A:$A,"&gt;=" &amp;DATE(YEAR(NOW()),7,1),Controle!$A:$A,"&lt;"&amp;DATE(YEAR(NOW()),8,1),Controle!$I:$I,"Pago",Controle!$D:$D,"Receita")</f>
        <v>0</v>
      </c>
      <c r="J6" s="21">
        <f ca="1">SUMIFS(Controle!$E:$E,Controle!$A:$A,"&gt;=" &amp;DATE(YEAR(NOW()),8,1),Controle!$A:$A,"&lt;"&amp;DATE(YEAR(NOW()),9,1),Controle!$I:$I,"Pago",Controle!$D:$D,"Receita")</f>
        <v>0</v>
      </c>
      <c r="K6" s="21">
        <f ca="1">SUMIFS(Controle!$E:$E,Controle!$A:$A,"&gt;=" &amp;DATE(YEAR(NOW()),9,1),Controle!$A:$A,"&lt;"&amp;DATE(YEAR(NOW()),10,1),Controle!$I:$I,"Pago",Controle!$D:$D,"Receita")</f>
        <v>0</v>
      </c>
      <c r="L6" s="21">
        <f ca="1">SUMIFS(Controle!$E:$E,Controle!$A:$A,"&gt;=" &amp;DATE(YEAR(NOW()),10,1),Controle!$A:$A,"&lt;"&amp;DATE(YEAR(NOW()),11,1),Controle!$I:$I,"Pago",Controle!$D:$D,"Receita")</f>
        <v>0</v>
      </c>
      <c r="M6" s="21">
        <f ca="1">SUMIFS(Controle!$E:$E,Controle!$A:$A,"&gt;=" &amp;DATE(YEAR(NOW()),11,1),Controle!$A:$A,"&lt;"&amp;DATE(YEAR(NOW()),12,1),Controle!$I:$I,"Pago",Controle!$D:$D,"Receita")</f>
        <v>0</v>
      </c>
      <c r="N6" s="21">
        <f ca="1">SUMIFS(Controle!$E:$E,Controle!$A:$A,"&gt;=" &amp;DATE(YEAR(NOW()),12,1),Controle!$A:$A,"&lt;"&amp;DATE(YEAR(NOW()),1,1),Controle!$I:$I,"Pago",Controle!$D:$D,"Receita")</f>
        <v>0</v>
      </c>
      <c r="O6" s="32">
        <f ca="1">SUM(C6:N6)</f>
        <v>0</v>
      </c>
    </row>
    <row r="7" spans="2:15" ht="20.100000000000001" customHeight="1" x14ac:dyDescent="0.25">
      <c r="B7" s="24" t="s">
        <v>33</v>
      </c>
      <c r="C7" s="21">
        <f ca="1">SUMIFS(Controle!$E:$E,Controle!$A:$A,"&gt;=" &amp;DATE(YEAR(NOW()),1,1),Controle!$A:$A,"&lt;"&amp;DATE(YEAR(NOW()),2,1),Controle!$I:$I,"Pago",Controle!$D:$D,"Despesa")</f>
        <v>0</v>
      </c>
      <c r="D7" s="21">
        <f ca="1">SUMIFS(Controle!$E:$E,Controle!$A:$A,"&gt;=" &amp;DATE(YEAR(NOW()),2,1),Controle!$A:$A,"&lt;"&amp;DATE(YEAR(NOW()),3,1),Controle!$I:$I,"Pago",Controle!$D:$D,"Despesa")</f>
        <v>0</v>
      </c>
      <c r="E7" s="21">
        <f ca="1">SUMIFS(Controle!$E:$E,Controle!$A:$A,"&gt;=" &amp;DATE(YEAR(NOW()),3,1),Controle!$A:$A,"&lt;"&amp;DATE(YEAR(NOW()),4,1),Controle!$I:$I,"Pago",Controle!$D:$D,"Despesa")</f>
        <v>0</v>
      </c>
      <c r="F7" s="21">
        <f ca="1">SUMIFS(Controle!$E:$E,Controle!$A:$A,"&gt;=" &amp;DATE(YEAR(NOW()),4,1),Controle!$A:$A,"&lt;"&amp;DATE(YEAR(NOW()),5,1),Controle!$I:$I,"Pago",Controle!$D:$D,"Despesa")</f>
        <v>0</v>
      </c>
      <c r="G7" s="21">
        <f ca="1">SUMIFS(Controle!$E:$E,Controle!$A:$A,"&gt;=" &amp;DATE(YEAR(NOW()),5,1),Controle!$A:$A,"&lt;"&amp;DATE(YEAR(NOW()),6,1),Controle!$I:$I,"Pago",Controle!$D:$D,"Despesa")</f>
        <v>0</v>
      </c>
      <c r="H7" s="21">
        <f ca="1">SUMIFS(Controle!$E:$E,Controle!$A:$A,"&gt;=" &amp;DATE(YEAR(NOW()),6,1),Controle!$A:$A,"&lt;"&amp;DATE(YEAR(NOW()),7,1),Controle!$I:$I,"Pago",Controle!$D:$D,"Despesa")</f>
        <v>0</v>
      </c>
      <c r="I7" s="21">
        <f ca="1">SUMIFS(Controle!$E:$E,Controle!$A:$A,"&gt;=" &amp;DATE(YEAR(NOW()),7,1),Controle!$A:$A,"&lt;"&amp;DATE(YEAR(NOW()),8,1),Controle!$I:$I,"Pago",Controle!$D:$D,"Despesa")</f>
        <v>0</v>
      </c>
      <c r="J7" s="21">
        <f ca="1">SUMIFS(Controle!$E:$E,Controle!$A:$A,"&gt;=" &amp;DATE(YEAR(NOW()),8,1),Controle!$A:$A,"&lt;"&amp;DATE(YEAR(NOW()),9,1),Controle!$I:$I,"Pago",Controle!$D:$D,"Despesa")</f>
        <v>0</v>
      </c>
      <c r="K7" s="21">
        <f ca="1">SUMIFS(Controle!$E:$E,Controle!$A:$A,"&gt;=" &amp;DATE(YEAR(NOW()),9,1),Controle!$A:$A,"&lt;"&amp;DATE(YEAR(NOW()),10,1),Controle!$I:$I,"Pago",Controle!$D:$D,"Despesa")</f>
        <v>0</v>
      </c>
      <c r="L7" s="21">
        <f ca="1">SUMIFS(Controle!$E:$E,Controle!$A:$A,"&gt;=" &amp;DATE(YEAR(NOW()),10,1),Controle!$A:$A,"&lt;"&amp;DATE(YEAR(NOW()),11,1),Controle!$I:$I,"Pago",Controle!$D:$D,"Despesa")</f>
        <v>0</v>
      </c>
      <c r="M7" s="21">
        <f ca="1">SUMIFS(Controle!$E:$E,Controle!$A:$A,"&gt;=" &amp;DATE(YEAR(NOW()),11,1),Controle!$A:$A,"&lt;"&amp;DATE(YEAR(NOW()),12,1),Controle!$I:$I,"Pago",Controle!$D:$D,"Despesa")</f>
        <v>0</v>
      </c>
      <c r="N7" s="21">
        <f ca="1">SUMIFS(Controle!$E:$E,Controle!$A:$A,"&gt;=" &amp;DATE(YEAR(NOW()),12,1),Controle!$A:$A,"&lt;"&amp;DATE(YEAR(NOW()),1,1),Controle!$I:$I,"Pago",Controle!$D:$D,"Despesa")</f>
        <v>0</v>
      </c>
      <c r="O7" s="33">
        <f ca="1">SUM(C7:N7)</f>
        <v>0</v>
      </c>
    </row>
    <row r="8" spans="2:15" ht="20.100000000000001" customHeight="1" x14ac:dyDescent="0.25">
      <c r="B8" s="25" t="s">
        <v>34</v>
      </c>
      <c r="C8" s="21">
        <f ca="1" xml:space="preserve"> C6 - C7</f>
        <v>0</v>
      </c>
      <c r="D8" s="21">
        <f t="shared" ref="D8:N8" ca="1" si="0" xml:space="preserve"> D6 - D7</f>
        <v>0</v>
      </c>
      <c r="E8" s="21">
        <f t="shared" ca="1" si="0"/>
        <v>0</v>
      </c>
      <c r="F8" s="21">
        <f t="shared" ca="1" si="0"/>
        <v>0</v>
      </c>
      <c r="G8" s="21">
        <f t="shared" ca="1" si="0"/>
        <v>0</v>
      </c>
      <c r="H8" s="21">
        <f t="shared" ca="1" si="0"/>
        <v>0</v>
      </c>
      <c r="I8" s="21">
        <f t="shared" ca="1" si="0"/>
        <v>0</v>
      </c>
      <c r="J8" s="21">
        <f t="shared" ca="1" si="0"/>
        <v>0</v>
      </c>
      <c r="K8" s="21">
        <f t="shared" ca="1" si="0"/>
        <v>0</v>
      </c>
      <c r="L8" s="21">
        <f t="shared" ca="1" si="0"/>
        <v>0</v>
      </c>
      <c r="M8" s="21">
        <f t="shared" ca="1" si="0"/>
        <v>0</v>
      </c>
      <c r="N8" s="21">
        <f t="shared" ca="1" si="0"/>
        <v>0</v>
      </c>
      <c r="O8" s="34">
        <f ca="1">SUM(C8:N8)</f>
        <v>0</v>
      </c>
    </row>
    <row r="9" spans="2:15" s="14" customFormat="1" ht="20.100000000000001" customHeight="1" x14ac:dyDescent="0.25">
      <c r="B9" s="25" t="s">
        <v>38</v>
      </c>
      <c r="C9" s="21">
        <f ca="1">C5 + C8</f>
        <v>0</v>
      </c>
      <c r="D9" s="21">
        <f t="shared" ref="D9:N9" ca="1" si="1">D5 + D8</f>
        <v>0</v>
      </c>
      <c r="E9" s="21">
        <f t="shared" ca="1" si="1"/>
        <v>0</v>
      </c>
      <c r="F9" s="21">
        <f t="shared" ca="1" si="1"/>
        <v>0</v>
      </c>
      <c r="G9" s="21">
        <f t="shared" ca="1" si="1"/>
        <v>0</v>
      </c>
      <c r="H9" s="21">
        <f t="shared" ca="1" si="1"/>
        <v>0</v>
      </c>
      <c r="I9" s="21">
        <f t="shared" ca="1" si="1"/>
        <v>0</v>
      </c>
      <c r="J9" s="21">
        <f t="shared" ca="1" si="1"/>
        <v>0</v>
      </c>
      <c r="K9" s="21">
        <f t="shared" ca="1" si="1"/>
        <v>0</v>
      </c>
      <c r="L9" s="21">
        <f t="shared" ca="1" si="1"/>
        <v>0</v>
      </c>
      <c r="M9" s="21">
        <f t="shared" ca="1" si="1"/>
        <v>0</v>
      </c>
      <c r="N9" s="21">
        <f t="shared" ca="1" si="1"/>
        <v>0</v>
      </c>
      <c r="O9" s="34">
        <f ca="1">N9</f>
        <v>0</v>
      </c>
    </row>
    <row r="10" spans="2:15" x14ac:dyDescent="0.25">
      <c r="B10" s="1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2:15" ht="15" customHeight="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2:15" ht="20.100000000000001" customHeight="1" x14ac:dyDescent="0.25">
      <c r="B12" s="27" t="s">
        <v>35</v>
      </c>
      <c r="C12" s="21">
        <f ca="1">SUMIFS(Controle!$E:$E,Controle!$A:$A,"&gt;=" &amp;DATE(YEAR(NOW()),1,1),Controle!$A:$A,"&lt;"&amp;DATE(YEAR(NOW()),2,1),Controle!$I:$I,"Não Pago",Controle!$D:$D,"Receita")</f>
        <v>0</v>
      </c>
      <c r="D12" s="21">
        <f ca="1">SUMIFS(Controle!$E:$E,Controle!$A:$A,"&gt;=" &amp;DATE(YEAR(NOW()),2,1),Controle!$A:$A,"&lt;"&amp;DATE(YEAR(NOW()),3,1),Controle!$I:$I,"Não Pago",Controle!$D:$D,"Receita")</f>
        <v>0</v>
      </c>
      <c r="E12" s="21">
        <f ca="1">SUMIFS(Controle!$E:$E,Controle!$A:$A,"&gt;=" &amp;DATE(YEAR(NOW()),3,1),Controle!$A:$A,"&lt;"&amp;DATE(YEAR(NOW()),4,1),Controle!$I:$I,"Não Pago",Controle!$D:$D,"Receita")</f>
        <v>0</v>
      </c>
      <c r="F12" s="21">
        <f ca="1">SUMIFS(Controle!$E:$E,Controle!$A:$A,"&gt;=" &amp;DATE(YEAR(NOW()),4,1),Controle!$A:$A,"&lt;"&amp;DATE(YEAR(NOW()),5,1),Controle!$I:$I,"Não Pago",Controle!$D:$D,"Receita")</f>
        <v>0</v>
      </c>
      <c r="G12" s="21">
        <f ca="1">SUMIFS(Controle!$E:$E,Controle!$A:$A,"&gt;=" &amp;DATE(YEAR(NOW()),5,1),Controle!$A:$A,"&lt;"&amp;DATE(YEAR(NOW()),6,1),Controle!$I:$I,"Não Pago",Controle!$D:$D,"Receita")</f>
        <v>0</v>
      </c>
      <c r="H12" s="21">
        <f ca="1">SUMIFS(Controle!$E:$E,Controle!$A:$A,"&gt;=" &amp;DATE(YEAR(NOW()),6,1),Controle!$A:$A,"&lt;"&amp;DATE(YEAR(NOW()),7,1),Controle!$I:$I,"Não Pago",Controle!$D:$D,"Receita")</f>
        <v>0</v>
      </c>
      <c r="I12" s="21">
        <f ca="1">SUMIFS(Controle!$E:$E,Controle!$A:$A,"&gt;=" &amp;DATE(YEAR(NOW()),7,1),Controle!$A:$A,"&lt;"&amp;DATE(YEAR(NOW()),8,1),Controle!$I:$I,"Não Pago",Controle!$D:$D,"Receita")</f>
        <v>0</v>
      </c>
      <c r="J12" s="21">
        <f ca="1">SUMIFS(Controle!$E:$E,Controle!$A:$A,"&gt;=" &amp;DATE(YEAR(NOW()),8,1),Controle!$A:$A,"&lt;"&amp;DATE(YEAR(NOW()),9,1),Controle!$I:$I,"Não Pago",Controle!$D:$D,"Receita")</f>
        <v>0</v>
      </c>
      <c r="K12" s="21">
        <f ca="1">SUMIFS(Controle!$E:$E,Controle!$A:$A,"&gt;=" &amp;DATE(YEAR(NOW()),9,1),Controle!$A:$A,"&lt;"&amp;DATE(YEAR(NOW()),10,1),Controle!$I:$I,"Não Pago",Controle!$D:$D,"Receita")</f>
        <v>0</v>
      </c>
      <c r="L12" s="21">
        <f ca="1">SUMIFS(Controle!$E:$E,Controle!$A:$A,"&gt;=" &amp;DATE(YEAR(NOW()),10,1),Controle!$A:$A,"&lt;"&amp;DATE(YEAR(NOW()),11,1),Controle!$I:$I,"Não Pago",Controle!$D:$D,"Receita")</f>
        <v>0</v>
      </c>
      <c r="M12" s="21">
        <f ca="1">SUMIFS(Controle!$E:$E,Controle!$A:$A,"&gt;=" &amp;DATE(YEAR(NOW()),11,1),Controle!$A:$A,"&lt;"&amp;DATE(YEAR(NOW()),12,1),Controle!$I:$I,"Não Pago",Controle!$D:$D,"Receita")</f>
        <v>0</v>
      </c>
      <c r="N12" s="21">
        <f ca="1">SUMIFS(Controle!$E:$E,Controle!$A:$A,"&gt;=" &amp;DATE(YEAR(NOW()),12,1),Controle!$A:$A,"&lt;"&amp;DATE(YEAR(NOW()),1,1),Controle!$I:$I,"Não Pago",Controle!$D:$D,"Receita")</f>
        <v>0</v>
      </c>
      <c r="O12" s="35">
        <f ca="1">SUM(C12:N12)</f>
        <v>0</v>
      </c>
    </row>
    <row r="13" spans="2:15" ht="20.100000000000001" customHeight="1" x14ac:dyDescent="0.25">
      <c r="B13" s="28" t="s">
        <v>36</v>
      </c>
      <c r="C13" s="21">
        <f ca="1">SUMIFS(Controle!$E:$E,Controle!$A:$A,"&gt;=" &amp;DATE(YEAR(NOW()),1,1),Controle!$A:$A,"&lt;"&amp;DATE(YEAR(NOW()),2,1),Controle!$I:$I,"Não Pago",Controle!$D:$D,"Despesa")</f>
        <v>0</v>
      </c>
      <c r="D13" s="21">
        <f ca="1">SUMIFS(Controle!$E:$E,Controle!$A:$A,"&gt;=" &amp;DATE(YEAR(NOW()),2,1),Controle!$A:$A,"&lt;"&amp;DATE(YEAR(NOW()),3,1),Controle!$I:$I,"Não Pago",Controle!$D:$D,"Despesa")</f>
        <v>0</v>
      </c>
      <c r="E13" s="21">
        <f ca="1">SUMIFS(Controle!$E:$E,Controle!$A:$A,"&gt;=" &amp;DATE(YEAR(NOW()),3,1),Controle!$A:$A,"&lt;"&amp;DATE(YEAR(NOW()),4,1),Controle!$I:$I,"Não Pago",Controle!$D:$D,"Despesa")</f>
        <v>0</v>
      </c>
      <c r="F13" s="21">
        <f ca="1">SUMIFS(Controle!$E:$E,Controle!$A:$A,"&gt;=" &amp;DATE(YEAR(NOW()),4,1),Controle!$A:$A,"&lt;"&amp;DATE(YEAR(NOW()),5,1),Controle!$I:$I,"Não Pago",Controle!$D:$D,"Despesa")</f>
        <v>0</v>
      </c>
      <c r="G13" s="21">
        <f ca="1">SUMIFS(Controle!$E:$E,Controle!$A:$A,"&gt;=" &amp;DATE(YEAR(NOW()),5,1),Controle!$A:$A,"&lt;"&amp;DATE(YEAR(NOW()),6,1),Controle!$I:$I,"Não Pago",Controle!$D:$D,"Despesa")</f>
        <v>0</v>
      </c>
      <c r="H13" s="21">
        <f ca="1">SUMIFS(Controle!$E:$E,Controle!$A:$A,"&gt;=" &amp;DATE(YEAR(NOW()),6,1),Controle!$A:$A,"&lt;"&amp;DATE(YEAR(NOW()),7,1),Controle!$I:$I,"Não Pago",Controle!$D:$D,"Despesa")</f>
        <v>0</v>
      </c>
      <c r="I13" s="21">
        <f ca="1">SUMIFS(Controle!$E:$E,Controle!$A:$A,"&gt;=" &amp;DATE(YEAR(NOW()),7,1),Controle!$A:$A,"&lt;"&amp;DATE(YEAR(NOW()),8,1),Controle!$I:$I,"Não Pago",Controle!$D:$D,"Despesa")</f>
        <v>0</v>
      </c>
      <c r="J13" s="21">
        <f ca="1">SUMIFS(Controle!$E:$E,Controle!$A:$A,"&gt;=" &amp;DATE(YEAR(NOW()),8,1),Controle!$A:$A,"&lt;"&amp;DATE(YEAR(NOW()),9,1),Controle!$I:$I,"Não Pago",Controle!$D:$D,"Despesa")</f>
        <v>0</v>
      </c>
      <c r="K13" s="21">
        <f ca="1">SUMIFS(Controle!$E:$E,Controle!$A:$A,"&gt;=" &amp;DATE(YEAR(NOW()),9,1),Controle!$A:$A,"&lt;"&amp;DATE(YEAR(NOW()),10,1),Controle!$I:$I,"Não Pago",Controle!$D:$D,"Despesa")</f>
        <v>0</v>
      </c>
      <c r="L13" s="21">
        <f ca="1">SUMIFS(Controle!$E:$E,Controle!$A:$A,"&gt;=" &amp;DATE(YEAR(NOW()),10,1),Controle!$A:$A,"&lt;"&amp;DATE(YEAR(NOW()),11,1),Controle!$I:$I,"Não Pago",Controle!$D:$D,"Despesa")</f>
        <v>0</v>
      </c>
      <c r="M13" s="21">
        <f ca="1">SUMIFS(Controle!$E:$E,Controle!$A:$A,"&gt;=" &amp;DATE(YEAR(NOW()),11,1),Controle!$A:$A,"&lt;"&amp;DATE(YEAR(NOW()),12,1),Controle!$I:$I,"Não Pago",Controle!$D:$D,"Despesa")</f>
        <v>0</v>
      </c>
      <c r="N13" s="21">
        <f ca="1">SUMIFS(Controle!$E:$E,Controle!$A:$A,"&gt;=" &amp;DATE(YEAR(NOW()),12,1),Controle!$A:$A,"&lt;"&amp;DATE(YEAR(NOW()),1,1),Controle!$I:$I,"Não Pago",Controle!$D:$D,"Despesa")</f>
        <v>0</v>
      </c>
      <c r="O13" s="36">
        <f ca="1">SUM(C13:N13)</f>
        <v>0</v>
      </c>
    </row>
    <row r="14" spans="2:15" ht="20.100000000000001" customHeight="1" x14ac:dyDescent="0.25">
      <c r="B14" s="26" t="s">
        <v>37</v>
      </c>
      <c r="C14" s="21">
        <f ca="1">C12-C13</f>
        <v>0</v>
      </c>
      <c r="D14" s="21">
        <f t="shared" ref="D14:N14" ca="1" si="2">D12-D13</f>
        <v>0</v>
      </c>
      <c r="E14" s="21">
        <f t="shared" ca="1" si="2"/>
        <v>0</v>
      </c>
      <c r="F14" s="21">
        <f t="shared" ca="1" si="2"/>
        <v>0</v>
      </c>
      <c r="G14" s="21">
        <f t="shared" ca="1" si="2"/>
        <v>0</v>
      </c>
      <c r="H14" s="21">
        <f t="shared" ca="1" si="2"/>
        <v>0</v>
      </c>
      <c r="I14" s="21">
        <f t="shared" ca="1" si="2"/>
        <v>0</v>
      </c>
      <c r="J14" s="21">
        <f t="shared" ca="1" si="2"/>
        <v>0</v>
      </c>
      <c r="K14" s="21">
        <f t="shared" ca="1" si="2"/>
        <v>0</v>
      </c>
      <c r="L14" s="21">
        <f t="shared" ca="1" si="2"/>
        <v>0</v>
      </c>
      <c r="M14" s="21">
        <f t="shared" ca="1" si="2"/>
        <v>0</v>
      </c>
      <c r="N14" s="21">
        <f t="shared" ca="1" si="2"/>
        <v>0</v>
      </c>
      <c r="O14" s="37">
        <f ca="1">SUM(C14:N14)</f>
        <v>0</v>
      </c>
    </row>
  </sheetData>
  <phoneticPr fontId="5" type="noConversion"/>
  <conditionalFormatting sqref="C8:N9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C14:N14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D085-3A2A-4E68-BB85-DEE4D7F364B5}">
  <sheetPr codeName="Planilha6"/>
  <dimension ref="B2:AL11"/>
  <sheetViews>
    <sheetView tabSelected="1" zoomScale="95" zoomScaleNormal="95" workbookViewId="0">
      <selection activeCell="E7" sqref="E7"/>
    </sheetView>
  </sheetViews>
  <sheetFormatPr defaultRowHeight="15" x14ac:dyDescent="0.25"/>
  <cols>
    <col min="1" max="1" width="2.7109375" customWidth="1"/>
    <col min="2" max="2" width="17.42578125" bestFit="1" customWidth="1"/>
    <col min="3" max="38" width="15.7109375" style="53" customWidth="1"/>
  </cols>
  <sheetData>
    <row r="2" spans="2:38" ht="15" customHeight="1" x14ac:dyDescent="0.25"/>
    <row r="3" spans="2:38" ht="15" customHeight="1" x14ac:dyDescent="0.25"/>
    <row r="4" spans="2:38" ht="25.5" customHeight="1" x14ac:dyDescent="0.25">
      <c r="B4" s="51" t="s">
        <v>9</v>
      </c>
      <c r="C4" s="58" t="s">
        <v>15</v>
      </c>
      <c r="D4" s="59"/>
      <c r="E4" s="56"/>
      <c r="F4" s="58" t="s">
        <v>16</v>
      </c>
      <c r="G4" s="59"/>
      <c r="H4" s="56"/>
      <c r="I4" s="58" t="s">
        <v>17</v>
      </c>
      <c r="J4" s="59"/>
      <c r="K4" s="56"/>
      <c r="L4" s="58" t="s">
        <v>18</v>
      </c>
      <c r="M4" s="59"/>
      <c r="N4" s="56"/>
      <c r="O4" s="58" t="s">
        <v>19</v>
      </c>
      <c r="P4" s="59"/>
      <c r="Q4" s="56"/>
      <c r="R4" s="58" t="s">
        <v>20</v>
      </c>
      <c r="S4" s="59"/>
      <c r="T4" s="56"/>
      <c r="U4" s="58" t="s">
        <v>21</v>
      </c>
      <c r="V4" s="59"/>
      <c r="W4" s="56"/>
      <c r="X4" s="58" t="s">
        <v>22</v>
      </c>
      <c r="Y4" s="59"/>
      <c r="Z4" s="56"/>
      <c r="AA4" s="58" t="s">
        <v>23</v>
      </c>
      <c r="AB4" s="59"/>
      <c r="AC4" s="56"/>
      <c r="AD4" s="58" t="s">
        <v>24</v>
      </c>
      <c r="AE4" s="59"/>
      <c r="AF4" s="56"/>
      <c r="AG4" s="58" t="s">
        <v>25</v>
      </c>
      <c r="AH4" s="59"/>
      <c r="AI4" s="56"/>
      <c r="AJ4" s="58" t="s">
        <v>26</v>
      </c>
      <c r="AK4" s="59"/>
      <c r="AL4" s="56"/>
    </row>
    <row r="5" spans="2:38" ht="24" customHeight="1" x14ac:dyDescent="0.25">
      <c r="B5" s="52"/>
      <c r="C5" s="57" t="s">
        <v>40</v>
      </c>
      <c r="D5" s="38" t="s">
        <v>41</v>
      </c>
      <c r="E5" s="38" t="s">
        <v>42</v>
      </c>
      <c r="F5" s="38" t="s">
        <v>40</v>
      </c>
      <c r="G5" s="38" t="s">
        <v>41</v>
      </c>
      <c r="H5" s="38" t="s">
        <v>42</v>
      </c>
      <c r="I5" s="38" t="s">
        <v>40</v>
      </c>
      <c r="J5" s="38" t="s">
        <v>41</v>
      </c>
      <c r="K5" s="38" t="s">
        <v>42</v>
      </c>
      <c r="L5" s="38" t="s">
        <v>40</v>
      </c>
      <c r="M5" s="38" t="s">
        <v>41</v>
      </c>
      <c r="N5" s="38" t="s">
        <v>42</v>
      </c>
      <c r="O5" s="38" t="s">
        <v>40</v>
      </c>
      <c r="P5" s="38" t="s">
        <v>41</v>
      </c>
      <c r="Q5" s="38" t="s">
        <v>42</v>
      </c>
      <c r="R5" s="38" t="s">
        <v>40</v>
      </c>
      <c r="S5" s="38" t="s">
        <v>41</v>
      </c>
      <c r="T5" s="38" t="s">
        <v>42</v>
      </c>
      <c r="U5" s="38" t="s">
        <v>40</v>
      </c>
      <c r="V5" s="38" t="s">
        <v>41</v>
      </c>
      <c r="W5" s="38" t="s">
        <v>42</v>
      </c>
      <c r="X5" s="38" t="s">
        <v>40</v>
      </c>
      <c r="Y5" s="38" t="s">
        <v>41</v>
      </c>
      <c r="Z5" s="38" t="s">
        <v>42</v>
      </c>
      <c r="AA5" s="38" t="s">
        <v>40</v>
      </c>
      <c r="AB5" s="38" t="s">
        <v>41</v>
      </c>
      <c r="AC5" s="38" t="s">
        <v>42</v>
      </c>
      <c r="AD5" s="38" t="s">
        <v>40</v>
      </c>
      <c r="AE5" s="38" t="s">
        <v>41</v>
      </c>
      <c r="AF5" s="38" t="s">
        <v>42</v>
      </c>
      <c r="AG5" s="38" t="s">
        <v>40</v>
      </c>
      <c r="AH5" s="38" t="s">
        <v>41</v>
      </c>
      <c r="AI5" s="38" t="s">
        <v>42</v>
      </c>
      <c r="AJ5" s="38" t="s">
        <v>40</v>
      </c>
      <c r="AK5" s="38" t="s">
        <v>41</v>
      </c>
      <c r="AL5" s="38" t="s">
        <v>42</v>
      </c>
    </row>
    <row r="6" spans="2:38" ht="26.25" customHeight="1" x14ac:dyDescent="0.25">
      <c r="B6" s="11" t="s">
        <v>27</v>
      </c>
      <c r="C6" s="54">
        <f>Metas!C6</f>
        <v>0</v>
      </c>
      <c r="D6" s="54">
        <f ca="1">'Fluxo Caixa'!C6</f>
        <v>0</v>
      </c>
      <c r="E6" s="54">
        <f ca="1">D6-C6</f>
        <v>0</v>
      </c>
      <c r="F6" s="54">
        <f>Metas!D6</f>
        <v>0</v>
      </c>
      <c r="G6" s="54">
        <f ca="1">'Fluxo Caixa'!D6</f>
        <v>0</v>
      </c>
      <c r="H6" s="54">
        <f ca="1">G6-F6</f>
        <v>0</v>
      </c>
      <c r="I6" s="54">
        <f>Metas!E6</f>
        <v>0</v>
      </c>
      <c r="J6" s="54">
        <f ca="1">'Fluxo Caixa'!E6</f>
        <v>0</v>
      </c>
      <c r="K6" s="54">
        <f ca="1">J6-I6</f>
        <v>0</v>
      </c>
      <c r="L6" s="54">
        <f>Metas!F6</f>
        <v>0</v>
      </c>
      <c r="M6" s="54">
        <f ca="1">'Fluxo Caixa'!F6</f>
        <v>0</v>
      </c>
      <c r="N6" s="54">
        <f ca="1">M6-L6</f>
        <v>0</v>
      </c>
      <c r="O6" s="54">
        <f>Metas!G6</f>
        <v>0</v>
      </c>
      <c r="P6" s="54">
        <f ca="1">'Fluxo Caixa'!G6</f>
        <v>0</v>
      </c>
      <c r="Q6" s="54">
        <f ca="1">P6-O6</f>
        <v>0</v>
      </c>
      <c r="R6" s="54">
        <f>Metas!H6</f>
        <v>0</v>
      </c>
      <c r="S6" s="54">
        <f ca="1">'Fluxo Caixa'!H6</f>
        <v>0</v>
      </c>
      <c r="T6" s="54">
        <f ca="1">S6-R6</f>
        <v>0</v>
      </c>
      <c r="U6" s="54">
        <f>Metas!I6</f>
        <v>0</v>
      </c>
      <c r="V6" s="54">
        <f ca="1">'Fluxo Caixa'!I6</f>
        <v>0</v>
      </c>
      <c r="W6" s="54">
        <f ca="1">V6-U6</f>
        <v>0</v>
      </c>
      <c r="X6" s="54">
        <f>Metas!J6</f>
        <v>0</v>
      </c>
      <c r="Y6" s="54">
        <f ca="1">'Fluxo Caixa'!J6</f>
        <v>0</v>
      </c>
      <c r="Z6" s="54">
        <f ca="1">Y6-X6</f>
        <v>0</v>
      </c>
      <c r="AA6" s="54">
        <f>Metas!K6</f>
        <v>0</v>
      </c>
      <c r="AB6" s="54">
        <f ca="1">'Fluxo Caixa'!K6</f>
        <v>0</v>
      </c>
      <c r="AC6" s="54">
        <f ca="1">AB6-AA6</f>
        <v>0</v>
      </c>
      <c r="AD6" s="54">
        <f>Metas!L6</f>
        <v>0</v>
      </c>
      <c r="AE6" s="54">
        <f ca="1">'Fluxo Caixa'!L6</f>
        <v>0</v>
      </c>
      <c r="AF6" s="54">
        <f ca="1">AE6-AD6</f>
        <v>0</v>
      </c>
      <c r="AG6" s="54">
        <f>Metas!M6</f>
        <v>0</v>
      </c>
      <c r="AH6" s="54">
        <f ca="1">'Fluxo Caixa'!M6</f>
        <v>0</v>
      </c>
      <c r="AI6" s="54">
        <f ca="1">AH6-AG6</f>
        <v>0</v>
      </c>
      <c r="AJ6" s="54">
        <f>Metas!N6</f>
        <v>0</v>
      </c>
      <c r="AK6" s="54">
        <f ca="1">'Fluxo Caixa'!N6</f>
        <v>0</v>
      </c>
      <c r="AL6" s="54">
        <f ca="1">AK6-AJ6</f>
        <v>0</v>
      </c>
    </row>
    <row r="7" spans="2:38" x14ac:dyDescent="0.25"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</row>
    <row r="8" spans="2:38" ht="26.25" customHeight="1" x14ac:dyDescent="0.25">
      <c r="B8" s="10" t="s">
        <v>30</v>
      </c>
      <c r="C8" s="55">
        <f>Metas!C8</f>
        <v>0</v>
      </c>
      <c r="D8" s="55">
        <f ca="1">'Fluxo Caixa'!C7</f>
        <v>0</v>
      </c>
      <c r="E8" s="55">
        <f ca="1">D8-C8</f>
        <v>0</v>
      </c>
      <c r="F8" s="55">
        <f>Metas!D8</f>
        <v>0</v>
      </c>
      <c r="G8" s="55">
        <f ca="1">'Fluxo Caixa'!D7</f>
        <v>0</v>
      </c>
      <c r="H8" s="55">
        <f t="shared" ref="H8" ca="1" si="0">G8-F8</f>
        <v>0</v>
      </c>
      <c r="I8" s="55">
        <f>Metas!E8</f>
        <v>0</v>
      </c>
      <c r="J8" s="55">
        <f ca="1">'Fluxo Caixa'!E7</f>
        <v>0</v>
      </c>
      <c r="K8" s="55">
        <f t="shared" ref="K8" ca="1" si="1">J8-I8</f>
        <v>0</v>
      </c>
      <c r="L8" s="55">
        <f>Metas!F8</f>
        <v>0</v>
      </c>
      <c r="M8" s="55">
        <f ca="1">'Fluxo Caixa'!F7</f>
        <v>0</v>
      </c>
      <c r="N8" s="55">
        <f t="shared" ref="N8" ca="1" si="2">M8-L8</f>
        <v>0</v>
      </c>
      <c r="O8" s="55">
        <f>Metas!G8</f>
        <v>0</v>
      </c>
      <c r="P8" s="55">
        <f ca="1">'Fluxo Caixa'!G7</f>
        <v>0</v>
      </c>
      <c r="Q8" s="55">
        <f ca="1">P8-O8</f>
        <v>0</v>
      </c>
      <c r="R8" s="55">
        <f>Metas!H8</f>
        <v>0</v>
      </c>
      <c r="S8" s="55">
        <f ca="1">'Fluxo Caixa'!H7</f>
        <v>0</v>
      </c>
      <c r="T8" s="55">
        <f t="shared" ref="T8" ca="1" si="3">S8-R8</f>
        <v>0</v>
      </c>
      <c r="U8" s="55">
        <f>Metas!I8</f>
        <v>0</v>
      </c>
      <c r="V8" s="55">
        <f ca="1">'Fluxo Caixa'!I7</f>
        <v>0</v>
      </c>
      <c r="W8" s="55">
        <f t="shared" ref="W8" ca="1" si="4">V8-U8</f>
        <v>0</v>
      </c>
      <c r="X8" s="55">
        <f>Metas!J8</f>
        <v>0</v>
      </c>
      <c r="Y8" s="55">
        <f ca="1">'Fluxo Caixa'!J7</f>
        <v>0</v>
      </c>
      <c r="Z8" s="55">
        <f t="shared" ref="Z8" ca="1" si="5">Y8-X8</f>
        <v>0</v>
      </c>
      <c r="AA8" s="55">
        <f>Metas!K8</f>
        <v>0</v>
      </c>
      <c r="AB8" s="55">
        <f ca="1">'Fluxo Caixa'!K7</f>
        <v>0</v>
      </c>
      <c r="AC8" s="55">
        <f t="shared" ref="AC8" ca="1" si="6">AB8-AA8</f>
        <v>0</v>
      </c>
      <c r="AD8" s="55">
        <f>Metas!L8</f>
        <v>0</v>
      </c>
      <c r="AE8" s="55">
        <f ca="1">'Fluxo Caixa'!L7</f>
        <v>0</v>
      </c>
      <c r="AF8" s="55">
        <f t="shared" ref="AF8" ca="1" si="7">AE8-AD8</f>
        <v>0</v>
      </c>
      <c r="AG8" s="55">
        <f>Metas!M8</f>
        <v>0</v>
      </c>
      <c r="AH8" s="55">
        <f ca="1">'Fluxo Caixa'!M7</f>
        <v>0</v>
      </c>
      <c r="AI8" s="55">
        <f t="shared" ref="AI8" ca="1" si="8">AH8-AG8</f>
        <v>0</v>
      </c>
      <c r="AJ8" s="55">
        <f>Metas!N8</f>
        <v>0</v>
      </c>
      <c r="AK8" s="55">
        <f ca="1">'Fluxo Caixa'!N7</f>
        <v>0</v>
      </c>
      <c r="AL8" s="55">
        <f t="shared" ref="AL8" ca="1" si="9">AK8-AJ8</f>
        <v>0</v>
      </c>
    </row>
    <row r="9" spans="2:38" ht="15" customHeight="1" x14ac:dyDescent="0.25"/>
    <row r="10" spans="2:38" x14ac:dyDescent="0.25"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2:38" x14ac:dyDescent="0.25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</sheetData>
  <mergeCells count="13">
    <mergeCell ref="AA4:AC4"/>
    <mergeCell ref="AD4:AF4"/>
    <mergeCell ref="AG4:AI4"/>
    <mergeCell ref="AJ4:AL4"/>
    <mergeCell ref="B4:B5"/>
    <mergeCell ref="C4:E4"/>
    <mergeCell ref="F4:H4"/>
    <mergeCell ref="I4:K4"/>
    <mergeCell ref="L4:N4"/>
    <mergeCell ref="O4:Q4"/>
    <mergeCell ref="R4:T4"/>
    <mergeCell ref="U4:W4"/>
    <mergeCell ref="X4:Z4"/>
  </mergeCells>
  <phoneticPr fontId="5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A204-7D4C-41C8-B1C5-933E9C40BCCD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Cadastro Inicial</vt:lpstr>
      <vt:lpstr>Controle</vt:lpstr>
      <vt:lpstr>Metas</vt:lpstr>
      <vt:lpstr>Fluxo Caixa</vt:lpstr>
      <vt:lpstr>MetaXRealizado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Corrêa da Silva</dc:creator>
  <cp:lastModifiedBy>Alexandre Corrêa da Silva</cp:lastModifiedBy>
  <dcterms:created xsi:type="dcterms:W3CDTF">2025-01-27T12:58:42Z</dcterms:created>
  <dcterms:modified xsi:type="dcterms:W3CDTF">2025-01-31T14:45:04Z</dcterms:modified>
</cp:coreProperties>
</file>