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A93DA3A9-A290-4DFA-B698-04FE4A14AEFB}" xr6:coauthVersionLast="47" xr6:coauthVersionMax="47" xr10:uidLastSave="{00000000-0000-0000-0000-000000000000}"/>
  <bookViews>
    <workbookView xWindow="-120" yWindow="-120" windowWidth="20730" windowHeight="11160" xr2:uid="{E26D7D3F-C57C-4C65-8A31-A680AD967FE3}"/>
  </bookViews>
  <sheets>
    <sheet name="Cadastro Inicial" sheetId="1" r:id="rId1"/>
    <sheet name="Controle" sheetId="2" r:id="rId2"/>
    <sheet name="Metas" sheetId="4" r:id="rId3"/>
    <sheet name="Fluxo Caixa" sheetId="3" r:id="rId4"/>
    <sheet name="MetaXRealizado" sheetId="6" r:id="rId5"/>
    <sheet name="Dashboard" sheetId="5" r:id="rId6"/>
    <sheet name="Dummy" sheetId="7" state="hidden" r:id="rId7"/>
  </sheets>
  <definedNames>
    <definedName name="_xlnm._FilterDatabase" localSheetId="1" hidden="1">Controle!$A$5:$I$20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4" l="1"/>
  <c r="M8" i="4"/>
  <c r="AG8" i="6" s="1"/>
  <c r="G13" i="7" s="1"/>
  <c r="L8" i="4"/>
  <c r="AD8" i="6" s="1"/>
  <c r="G12" i="7" s="1"/>
  <c r="K8" i="4"/>
  <c r="J8" i="4"/>
  <c r="X8" i="6" s="1"/>
  <c r="G10" i="7" s="1"/>
  <c r="I8" i="4"/>
  <c r="U8" i="6" s="1"/>
  <c r="G9" i="7" s="1"/>
  <c r="H8" i="4"/>
  <c r="R8" i="6" s="1"/>
  <c r="G8" i="7" s="1"/>
  <c r="G8" i="4"/>
  <c r="F8" i="4"/>
  <c r="L8" i="6" s="1"/>
  <c r="G6" i="7" s="1"/>
  <c r="E8" i="4"/>
  <c r="D8" i="4"/>
  <c r="F8" i="6" s="1"/>
  <c r="G4" i="7" s="1"/>
  <c r="C8" i="4"/>
  <c r="O8" i="6"/>
  <c r="G7" i="7" s="1"/>
  <c r="AJ8" i="6"/>
  <c r="G14" i="7" s="1"/>
  <c r="N6" i="4"/>
  <c r="M6" i="4"/>
  <c r="L6" i="4"/>
  <c r="K6" i="4"/>
  <c r="J6" i="4"/>
  <c r="I6" i="4"/>
  <c r="H6" i="4"/>
  <c r="G6" i="4"/>
  <c r="F6" i="4"/>
  <c r="E6" i="4"/>
  <c r="D6" i="4"/>
  <c r="C6" i="4"/>
  <c r="AA8" i="6"/>
  <c r="G11" i="7" s="1"/>
  <c r="I8" i="6"/>
  <c r="G5" i="7" s="1"/>
  <c r="C8" i="6"/>
  <c r="G3" i="7" s="1"/>
  <c r="C5" i="3"/>
  <c r="P8" i="4"/>
  <c r="P6" i="4"/>
  <c r="N13" i="3"/>
  <c r="M13" i="3"/>
  <c r="L13" i="3"/>
  <c r="K13" i="3"/>
  <c r="J13" i="3"/>
  <c r="I13" i="3"/>
  <c r="H13" i="3"/>
  <c r="G13" i="3"/>
  <c r="F13" i="3"/>
  <c r="E13" i="3"/>
  <c r="D13" i="3"/>
  <c r="C13" i="3"/>
  <c r="N12" i="3"/>
  <c r="M12" i="3"/>
  <c r="L12" i="3"/>
  <c r="K12" i="3"/>
  <c r="J12" i="3"/>
  <c r="I12" i="3"/>
  <c r="H12" i="3"/>
  <c r="G12" i="3"/>
  <c r="F12" i="3"/>
  <c r="E12" i="3"/>
  <c r="D12" i="3"/>
  <c r="C12" i="3"/>
  <c r="N7" i="3"/>
  <c r="AK8" i="6" s="1"/>
  <c r="H14" i="7" s="1"/>
  <c r="M7" i="3"/>
  <c r="AH8" i="6" s="1"/>
  <c r="H13" i="7" s="1"/>
  <c r="L7" i="3"/>
  <c r="AE8" i="6" s="1"/>
  <c r="H12" i="7" s="1"/>
  <c r="K7" i="3"/>
  <c r="AB8" i="6" s="1"/>
  <c r="H11" i="7" s="1"/>
  <c r="J7" i="3"/>
  <c r="Y8" i="6" s="1"/>
  <c r="H10" i="7" s="1"/>
  <c r="I7" i="3"/>
  <c r="V8" i="6" s="1"/>
  <c r="H9" i="7" s="1"/>
  <c r="H7" i="3"/>
  <c r="S8" i="6" s="1"/>
  <c r="H8" i="7" s="1"/>
  <c r="G7" i="3"/>
  <c r="P8" i="6" s="1"/>
  <c r="H7" i="7" s="1"/>
  <c r="F7" i="3"/>
  <c r="M8" i="6" s="1"/>
  <c r="E7" i="3"/>
  <c r="J8" i="6" s="1"/>
  <c r="H5" i="7" s="1"/>
  <c r="D7" i="3"/>
  <c r="G8" i="6" s="1"/>
  <c r="H4" i="7" s="1"/>
  <c r="C7" i="3"/>
  <c r="D8" i="6" s="1"/>
  <c r="H3" i="7" s="1"/>
  <c r="C6" i="3"/>
  <c r="D6" i="6" s="1"/>
  <c r="C3" i="7" s="1"/>
  <c r="D6" i="3"/>
  <c r="G6" i="6" s="1"/>
  <c r="C4" i="7" s="1"/>
  <c r="E6" i="3"/>
  <c r="J6" i="6" s="1"/>
  <c r="C5" i="7" s="1"/>
  <c r="F6" i="3"/>
  <c r="M6" i="6" s="1"/>
  <c r="C6" i="7" s="1"/>
  <c r="G6" i="3"/>
  <c r="P6" i="6" s="1"/>
  <c r="C7" i="7" s="1"/>
  <c r="H6" i="3"/>
  <c r="S6" i="6" s="1"/>
  <c r="C8" i="7" s="1"/>
  <c r="I6" i="3"/>
  <c r="V6" i="6" s="1"/>
  <c r="C9" i="7" s="1"/>
  <c r="J6" i="3"/>
  <c r="Y6" i="6" s="1"/>
  <c r="C10" i="7" s="1"/>
  <c r="K6" i="3"/>
  <c r="AB6" i="6" s="1"/>
  <c r="C11" i="7" s="1"/>
  <c r="L6" i="3"/>
  <c r="AE6" i="6" s="1"/>
  <c r="C12" i="7" s="1"/>
  <c r="M6" i="3"/>
  <c r="AH6" i="6" s="1"/>
  <c r="C13" i="7" s="1"/>
  <c r="N6" i="3"/>
  <c r="AK6" i="6" s="1"/>
  <c r="C14" i="7" s="1"/>
  <c r="U6" i="6" l="1"/>
  <c r="AJ6" i="6"/>
  <c r="O6" i="6"/>
  <c r="O8" i="4"/>
  <c r="X6" i="6"/>
  <c r="AA6" i="6"/>
  <c r="H6" i="7"/>
  <c r="C6" i="6"/>
  <c r="N8" i="3"/>
  <c r="M8" i="3"/>
  <c r="L8" i="3"/>
  <c r="K8" i="3"/>
  <c r="J8" i="3"/>
  <c r="I8" i="3"/>
  <c r="H8" i="3"/>
  <c r="G8" i="3"/>
  <c r="F8" i="3"/>
  <c r="E8" i="3"/>
  <c r="D8" i="3"/>
  <c r="C8" i="3"/>
  <c r="C9" i="3" s="1"/>
  <c r="F6" i="6"/>
  <c r="R6" i="6"/>
  <c r="AD6" i="6"/>
  <c r="I6" i="6"/>
  <c r="AG6" i="6"/>
  <c r="E8" i="6"/>
  <c r="Z8" i="6"/>
  <c r="AL8" i="6"/>
  <c r="AF8" i="6"/>
  <c r="W8" i="6"/>
  <c r="AI8" i="6"/>
  <c r="AC8" i="6"/>
  <c r="T8" i="6"/>
  <c r="N8" i="6"/>
  <c r="K8" i="6"/>
  <c r="H8" i="6"/>
  <c r="H14" i="3"/>
  <c r="J14" i="3"/>
  <c r="M14" i="3"/>
  <c r="I14" i="3"/>
  <c r="E14" i="3"/>
  <c r="F14" i="3"/>
  <c r="N14" i="3"/>
  <c r="G14" i="3"/>
  <c r="D14" i="3"/>
  <c r="L14" i="3"/>
  <c r="K14" i="3"/>
  <c r="C14" i="3"/>
  <c r="O13" i="3"/>
  <c r="O12" i="3"/>
  <c r="O7" i="3"/>
  <c r="Q8" i="6" s="1"/>
  <c r="O6" i="3"/>
  <c r="O6" i="4" l="1"/>
  <c r="L6" i="6"/>
  <c r="B6" i="7" s="1"/>
  <c r="H6" i="6"/>
  <c r="B4" i="7"/>
  <c r="Z6" i="6"/>
  <c r="B10" i="7"/>
  <c r="K6" i="6"/>
  <c r="B5" i="7"/>
  <c r="AL6" i="6"/>
  <c r="B14" i="7"/>
  <c r="W6" i="6"/>
  <c r="B9" i="7"/>
  <c r="E6" i="6"/>
  <c r="B3" i="7"/>
  <c r="AF6" i="6"/>
  <c r="B12" i="7"/>
  <c r="AC6" i="6"/>
  <c r="B11" i="7"/>
  <c r="AI6" i="6"/>
  <c r="B13" i="7"/>
  <c r="T6" i="6"/>
  <c r="B8" i="7"/>
  <c r="Q6" i="6"/>
  <c r="B7" i="7"/>
  <c r="O14" i="3"/>
  <c r="N6" i="6" l="1"/>
  <c r="D5" i="3"/>
  <c r="O8" i="3" l="1"/>
  <c r="D9" i="3"/>
  <c r="E5" i="3" s="1"/>
  <c r="E9" i="3" s="1"/>
  <c r="F5" i="3" l="1"/>
  <c r="F9" i="3" s="1"/>
  <c r="G5" i="3" l="1"/>
  <c r="G9" i="3" s="1"/>
  <c r="H5" i="3" l="1"/>
  <c r="H9" i="3" s="1"/>
  <c r="I5" i="3" l="1"/>
  <c r="I9" i="3" s="1"/>
  <c r="J5" i="3" l="1"/>
  <c r="J9" i="3" s="1"/>
  <c r="K5" i="3" l="1"/>
  <c r="K9" i="3" s="1"/>
  <c r="L5" i="3" l="1"/>
  <c r="L9" i="3" s="1"/>
  <c r="M5" i="3" l="1"/>
  <c r="M9" i="3" s="1"/>
  <c r="N5" i="3" l="1"/>
  <c r="N9" i="3" s="1"/>
  <c r="O9" i="3" l="1"/>
  <c r="O5" i="3" a="1"/>
  <c r="O5" i="3" s="1"/>
</calcChain>
</file>

<file path=xl/sharedStrings.xml><?xml version="1.0" encoding="utf-8"?>
<sst xmlns="http://schemas.openxmlformats.org/spreadsheetml/2006/main" count="138" uniqueCount="56">
  <si>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</si>
  <si>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</si>
  <si>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</si>
  <si>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</si>
  <si>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</si>
  <si>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</si>
  <si>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</si>
  <si>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</si>
  <si>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</si>
  <si>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</si>
  <si>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</si>
  <si>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</si>
  <si>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</si>
  <si>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</si>
  <si>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</si>
  <si>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</si>
  <si>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</si>
  <si>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</si>
  <si>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</si>
  <si>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</si>
  <si>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</si>
  <si>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</si>
  <si>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</si>
  <si>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</si>
  <si>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</si>
  <si>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</si>
  <si>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</si>
  <si>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</si>
  <si>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</si>
  <si>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</si>
  <si>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</si>
  <si>
    <t>Fluxo de Caixa</t>
  </si>
  <si>
    <t>Receita</t>
  </si>
  <si>
    <t>Despesa</t>
  </si>
  <si>
    <t>Saldo do Mês</t>
  </si>
  <si>
    <t>A Receber</t>
  </si>
  <si>
    <t>A Pagar</t>
  </si>
  <si>
    <t>Saldo de Contas</t>
  </si>
  <si>
    <t>Acumulado</t>
  </si>
  <si>
    <t>Mês de Inserção</t>
  </si>
  <si>
    <t>Meta</t>
  </si>
  <si>
    <t>Realizado</t>
  </si>
  <si>
    <t>Diferença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</si>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</sst>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4" fontId="4" fillId="5" borderId="0" xfId="0" applyNumberFormat="1" applyFont="1" applyFill="1" applyAlignment="1">
      <alignment horizontal="center" vertical="center"/>
    </xf>
    <xf numFmtId="10" fontId="4" fillId="5" borderId="0" xfId="0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9" fillId="0" borderId="0" xfId="0" applyFont="1"/>
    <xf numFmtId="0" fontId="2" fillId="2" borderId="7" xfId="0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5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303368328958875E-2"/>
          <c:y val="6.4765126803188286E-2"/>
          <c:w val="0.86869885726710172"/>
          <c:h val="0.86291253362804188"/>
        </c:manualLayout>
      </c:layout>
      <c:barChart>
        <c:barDir val="bar"/>
        <c:grouping val="stacked"/>
        <c:varyColors val="0"/>
        <c:ser>
          <c:idx val="0"/>
          <c:order val="0"/>
          <c:tx>
            <c:v>Acumulado</c:v>
          </c:tx>
          <c:spPr>
            <a:solidFill>
              <a:schemeClr val="accent1"/>
            </a:solidFill>
            <a:ln w="88900">
              <a:solidFill>
                <a:srgbClr val="0070C0"/>
              </a:solidFill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1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Jan</c:v>
              </c:pt>
              <c:pt idx="1">
                <c:v> Fev</c:v>
              </c:pt>
              <c:pt idx="2">
                <c:v> Mar</c:v>
              </c:pt>
              <c:pt idx="3">
                <c:v> Abr</c:v>
              </c:pt>
              <c:pt idx="4">
                <c:v> Mai</c:v>
              </c:pt>
              <c:pt idx="5">
                <c:v> Jun</c:v>
              </c:pt>
              <c:pt idx="6">
                <c:v> Jul</c:v>
              </c:pt>
              <c:pt idx="7">
                <c:v> Ago</c:v>
              </c:pt>
              <c:pt idx="8">
                <c:v> Set</c:v>
              </c:pt>
              <c:pt idx="9">
                <c:v> Out</c:v>
              </c:pt>
              <c:pt idx="10">
                <c:v> Nov</c:v>
              </c:pt>
              <c:pt idx="11">
                <c:v> Dez</c:v>
              </c:pt>
            </c:strLit>
          </c:cat>
          <c:val>
            <c:numRef>
              <c:f>'Fluxo Caixa'!$C$9:$N$9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0-4011-A1B8-BB0628383C7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45129104"/>
        <c:axId val="545127664"/>
      </c:barChart>
      <c:catAx>
        <c:axId val="545129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127664"/>
        <c:crosses val="autoZero"/>
        <c:auto val="0"/>
        <c:lblAlgn val="ctr"/>
        <c:lblOffset val="100"/>
        <c:noMultiLvlLbl val="0"/>
      </c:catAx>
      <c:valAx>
        <c:axId val="545127664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4512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8272664068698899"/>
          <c:y val="0.93164174507300812"/>
          <c:w val="0.3773491040019572"/>
          <c:h val="6.2038807873632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8642614967702"/>
          <c:y val="8.0642624011655922E-2"/>
          <c:w val="0.85704709182281269"/>
          <c:h val="0.85850719041562429"/>
        </c:manualLayout>
      </c:layout>
      <c:barChart>
        <c:barDir val="bar"/>
        <c:grouping val="clustered"/>
        <c:varyColors val="0"/>
        <c:ser>
          <c:idx val="0"/>
          <c:order val="0"/>
          <c:tx>
            <c:v>Meta</c:v>
          </c:tx>
          <c:spPr>
            <a:solidFill>
              <a:schemeClr val="accent6">
                <a:lumMod val="60000"/>
                <a:lumOff val="40000"/>
              </a:schemeClr>
            </a:solidFill>
            <a:ln w="0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Dummy!$B$3:$B$14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2-4466-8672-CCFA54B598BF}"/>
            </c:ext>
          </c:extLst>
        </c:ser>
        <c:ser>
          <c:idx val="1"/>
          <c:order val="1"/>
          <c:tx>
            <c:v>Realizado</c:v>
          </c:tx>
          <c:spPr>
            <a:solidFill>
              <a:schemeClr val="accent6">
                <a:lumMod val="75000"/>
              </a:schemeClr>
            </a:solidFill>
            <a:ln w="889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Dummy!$C$3:$C$14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82-4466-8672-CCFA54B5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545131624"/>
        <c:axId val="545122264"/>
      </c:barChart>
      <c:catAx>
        <c:axId val="545131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122264"/>
        <c:crosses val="autoZero"/>
        <c:auto val="1"/>
        <c:lblAlgn val="ctr"/>
        <c:lblOffset val="100"/>
        <c:noMultiLvlLbl val="0"/>
      </c:catAx>
      <c:valAx>
        <c:axId val="545122264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4513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84835321684207"/>
          <c:y val="0.88798943583078571"/>
          <c:w val="0.30594781863235193"/>
          <c:h val="0.10635331458997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8642614967702"/>
          <c:y val="8.0642624011655922E-2"/>
          <c:w val="0.85704709182281269"/>
          <c:h val="0.85850719041562429"/>
        </c:manualLayout>
      </c:layout>
      <c:barChart>
        <c:barDir val="bar"/>
        <c:grouping val="clustered"/>
        <c:varyColors val="0"/>
        <c:ser>
          <c:idx val="0"/>
          <c:order val="0"/>
          <c:tx>
            <c:v>Meta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Dummy!$G$3:$G$14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8-46CA-B8A5-2E735C36DE8F}"/>
            </c:ext>
          </c:extLst>
        </c:ser>
        <c:ser>
          <c:idx val="1"/>
          <c:order val="1"/>
          <c:tx>
            <c:v>Realizado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Dummy!$H$3:$H$14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8-46CA-B8A5-2E735C36D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545131624"/>
        <c:axId val="545122264"/>
      </c:barChart>
      <c:catAx>
        <c:axId val="545131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122264"/>
        <c:crosses val="autoZero"/>
        <c:auto val="1"/>
        <c:lblAlgn val="ctr"/>
        <c:lblOffset val="100"/>
        <c:noMultiLvlLbl val="0"/>
      </c:catAx>
      <c:valAx>
        <c:axId val="545122264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4513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84835321684207"/>
          <c:y val="0.88798943583078571"/>
          <c:w val="0.30594781863235193"/>
          <c:h val="0.10635331458997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9522</xdr:rowOff>
    </xdr:from>
    <xdr:to>
      <xdr:col>1</xdr:col>
      <xdr:colOff>544286</xdr:colOff>
      <xdr:row>7</xdr:row>
      <xdr:rowOff>188406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65566"/>
          <a:ext cx="1675562" cy="55569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114300</xdr:colOff>
      <xdr:row>8</xdr:row>
      <xdr:rowOff>122880</xdr:rowOff>
    </xdr:from>
    <xdr:to>
      <xdr:col>1</xdr:col>
      <xdr:colOff>533819</xdr:colOff>
      <xdr:row>11</xdr:row>
      <xdr:rowOff>104667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0" y="1944144"/>
          <a:ext cx="1665096" cy="5470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103833</xdr:colOff>
      <xdr:row>2</xdr:row>
      <xdr:rowOff>20936</xdr:rowOff>
    </xdr:from>
    <xdr:to>
      <xdr:col>1</xdr:col>
      <xdr:colOff>544285</xdr:colOff>
      <xdr:row>4</xdr:row>
      <xdr:rowOff>59036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03833" y="596623"/>
          <a:ext cx="1686029" cy="5300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0</xdr:col>
      <xdr:colOff>161925</xdr:colOff>
      <xdr:row>13</xdr:row>
      <xdr:rowOff>114300</xdr:rowOff>
    </xdr:from>
    <xdr:to>
      <xdr:col>1</xdr:col>
      <xdr:colOff>504825</xdr:colOff>
      <xdr:row>15</xdr:row>
      <xdr:rowOff>20934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89E5F30-2CF5-300E-5E45-2E2F9F940078}"/>
            </a:ext>
          </a:extLst>
        </xdr:cNvPr>
        <xdr:cNvSpPr/>
      </xdr:nvSpPr>
      <xdr:spPr>
        <a:xfrm>
          <a:off x="161925" y="2877597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0</xdr:col>
      <xdr:colOff>157320</xdr:colOff>
      <xdr:row>15</xdr:row>
      <xdr:rowOff>120161</xdr:rowOff>
    </xdr:from>
    <xdr:to>
      <xdr:col>1</xdr:col>
      <xdr:colOff>500220</xdr:colOff>
      <xdr:row>17</xdr:row>
      <xdr:rowOff>26795</xdr:rowOff>
    </xdr:to>
    <xdr:sp macro="[0]!NavegarControle" textlink="">
      <xdr:nvSpPr>
        <xdr:cNvPr id="12" name="Retângulo 11">
          <a:extLst>
            <a:ext uri="{FF2B5EF4-FFF2-40B4-BE49-F238E27FC236}">
              <a16:creationId xmlns:a16="http://schemas.microsoft.com/office/drawing/2014/main" id="{EA942AE8-3433-4239-B714-EF3307C56727}"/>
            </a:ext>
          </a:extLst>
        </xdr:cNvPr>
        <xdr:cNvSpPr/>
      </xdr:nvSpPr>
      <xdr:spPr>
        <a:xfrm>
          <a:off x="157320" y="326027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163182</xdr:colOff>
      <xdr:row>17</xdr:row>
      <xdr:rowOff>126022</xdr:rowOff>
    </xdr:from>
    <xdr:to>
      <xdr:col>1</xdr:col>
      <xdr:colOff>506082</xdr:colOff>
      <xdr:row>19</xdr:row>
      <xdr:rowOff>32656</xdr:rowOff>
    </xdr:to>
    <xdr:sp macro="[0]!NavegarMetas" textlink="">
      <xdr:nvSpPr>
        <xdr:cNvPr id="13" name="Retângulo 12">
          <a:extLst>
            <a:ext uri="{FF2B5EF4-FFF2-40B4-BE49-F238E27FC236}">
              <a16:creationId xmlns:a16="http://schemas.microsoft.com/office/drawing/2014/main" id="{DF9CE899-BDA2-4FBC-AD93-CB60307A41E1}"/>
            </a:ext>
          </a:extLst>
        </xdr:cNvPr>
        <xdr:cNvSpPr/>
      </xdr:nvSpPr>
      <xdr:spPr>
        <a:xfrm>
          <a:off x="163182" y="364294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0</xdr:col>
      <xdr:colOff>169044</xdr:colOff>
      <xdr:row>19</xdr:row>
      <xdr:rowOff>110949</xdr:rowOff>
    </xdr:from>
    <xdr:to>
      <xdr:col>1</xdr:col>
      <xdr:colOff>511944</xdr:colOff>
      <xdr:row>21</xdr:row>
      <xdr:rowOff>17583</xdr:rowOff>
    </xdr:to>
    <xdr:sp macro="[0]!NavegarFluxo" textlink="">
      <xdr:nvSpPr>
        <xdr:cNvPr id="14" name="Retângulo 13">
          <a:extLst>
            <a:ext uri="{FF2B5EF4-FFF2-40B4-BE49-F238E27FC236}">
              <a16:creationId xmlns:a16="http://schemas.microsoft.com/office/drawing/2014/main" id="{D0D5993E-E61A-4930-8332-49FC5C63F628}"/>
            </a:ext>
          </a:extLst>
        </xdr:cNvPr>
        <xdr:cNvSpPr/>
      </xdr:nvSpPr>
      <xdr:spPr>
        <a:xfrm>
          <a:off x="169044" y="400468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0</xdr:col>
      <xdr:colOff>174906</xdr:colOff>
      <xdr:row>21</xdr:row>
      <xdr:rowOff>106343</xdr:rowOff>
    </xdr:from>
    <xdr:to>
      <xdr:col>1</xdr:col>
      <xdr:colOff>517806</xdr:colOff>
      <xdr:row>23</xdr:row>
      <xdr:rowOff>12976</xdr:rowOff>
    </xdr:to>
    <xdr:sp macro="[0]!NavegarMR" textlink="">
      <xdr:nvSpPr>
        <xdr:cNvPr id="15" name="Retângulo 14">
          <a:extLst>
            <a:ext uri="{FF2B5EF4-FFF2-40B4-BE49-F238E27FC236}">
              <a16:creationId xmlns:a16="http://schemas.microsoft.com/office/drawing/2014/main" id="{D8CA1B37-732C-4246-B695-F01C456A19A3}"/>
            </a:ext>
          </a:extLst>
        </xdr:cNvPr>
        <xdr:cNvSpPr/>
      </xdr:nvSpPr>
      <xdr:spPr>
        <a:xfrm>
          <a:off x="174906" y="437689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191235</xdr:colOff>
      <xdr:row>23</xdr:row>
      <xdr:rowOff>101736</xdr:rowOff>
    </xdr:from>
    <xdr:to>
      <xdr:col>1</xdr:col>
      <xdr:colOff>534135</xdr:colOff>
      <xdr:row>25</xdr:row>
      <xdr:rowOff>8370</xdr:rowOff>
    </xdr:to>
    <xdr:sp macro="[0]!NavegarDashboard" textlink="">
      <xdr:nvSpPr>
        <xdr:cNvPr id="16" name="Retângulo 15">
          <a:extLst>
            <a:ext uri="{FF2B5EF4-FFF2-40B4-BE49-F238E27FC236}">
              <a16:creationId xmlns:a16="http://schemas.microsoft.com/office/drawing/2014/main" id="{00B3E985-8D74-43A8-925C-00AB3C488830}"/>
            </a:ext>
          </a:extLst>
        </xdr:cNvPr>
        <xdr:cNvSpPr/>
      </xdr:nvSpPr>
      <xdr:spPr>
        <a:xfrm>
          <a:off x="191235" y="4749099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272144</xdr:colOff>
      <xdr:row>0</xdr:row>
      <xdr:rowOff>73269</xdr:rowOff>
    </xdr:from>
    <xdr:to>
      <xdr:col>2</xdr:col>
      <xdr:colOff>1167495</xdr:colOff>
      <xdr:row>1</xdr:row>
      <xdr:rowOff>130419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73D1A022-E085-4639-951B-B99422498981}"/>
            </a:ext>
          </a:extLst>
        </xdr:cNvPr>
        <xdr:cNvSpPr txBox="1"/>
      </xdr:nvSpPr>
      <xdr:spPr>
        <a:xfrm>
          <a:off x="2763298" y="73269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2</xdr:col>
      <xdr:colOff>360694</xdr:colOff>
      <xdr:row>1</xdr:row>
      <xdr:rowOff>192279</xdr:rowOff>
    </xdr:from>
    <xdr:to>
      <xdr:col>3</xdr:col>
      <xdr:colOff>703594</xdr:colOff>
      <xdr:row>2</xdr:row>
      <xdr:rowOff>67512</xdr:rowOff>
    </xdr:to>
    <xdr:sp macro="[0]!NavegarCadastro" textlink="">
      <xdr:nvSpPr>
        <xdr:cNvPr id="8" name="Retângulo 7">
          <a:extLst>
            <a:ext uri="{FF2B5EF4-FFF2-40B4-BE49-F238E27FC236}">
              <a16:creationId xmlns:a16="http://schemas.microsoft.com/office/drawing/2014/main" id="{00221397-B58D-4419-83FB-CC93FE087B34}"/>
            </a:ext>
          </a:extLst>
        </xdr:cNvPr>
        <xdr:cNvSpPr/>
      </xdr:nvSpPr>
      <xdr:spPr>
        <a:xfrm>
          <a:off x="2851848" y="380686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3</xdr:col>
      <xdr:colOff>827100</xdr:colOff>
      <xdr:row>1</xdr:row>
      <xdr:rowOff>187673</xdr:rowOff>
    </xdr:from>
    <xdr:to>
      <xdr:col>4</xdr:col>
      <xdr:colOff>1170000</xdr:colOff>
      <xdr:row>2</xdr:row>
      <xdr:rowOff>62906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348CA64-3B49-4356-A0E4-A7776EEE9861}"/>
            </a:ext>
          </a:extLst>
        </xdr:cNvPr>
        <xdr:cNvSpPr/>
      </xdr:nvSpPr>
      <xdr:spPr>
        <a:xfrm>
          <a:off x="4563831" y="376080"/>
          <a:ext cx="1588477" cy="28344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16534</xdr:colOff>
      <xdr:row>1</xdr:row>
      <xdr:rowOff>193534</xdr:rowOff>
    </xdr:from>
    <xdr:to>
      <xdr:col>5</xdr:col>
      <xdr:colOff>1605011</xdr:colOff>
      <xdr:row>2</xdr:row>
      <xdr:rowOff>68767</xdr:rowOff>
    </xdr:to>
    <xdr:sp macro="[0]!NavegarMetas" textlink="">
      <xdr:nvSpPr>
        <xdr:cNvPr id="10" name="Retângulo 9">
          <a:extLst>
            <a:ext uri="{FF2B5EF4-FFF2-40B4-BE49-F238E27FC236}">
              <a16:creationId xmlns:a16="http://schemas.microsoft.com/office/drawing/2014/main" id="{C86014FE-D279-4B26-927F-B2B9F4BEE16C}"/>
            </a:ext>
          </a:extLst>
        </xdr:cNvPr>
        <xdr:cNvSpPr/>
      </xdr:nvSpPr>
      <xdr:spPr>
        <a:xfrm>
          <a:off x="6244419" y="38194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5</xdr:col>
      <xdr:colOff>1728521</xdr:colOff>
      <xdr:row>1</xdr:row>
      <xdr:rowOff>199395</xdr:rowOff>
    </xdr:from>
    <xdr:to>
      <xdr:col>7</xdr:col>
      <xdr:colOff>292026</xdr:colOff>
      <xdr:row>2</xdr:row>
      <xdr:rowOff>74628</xdr:rowOff>
    </xdr:to>
    <xdr:sp macro="[0]!NavegarFluxo" textlink="">
      <xdr:nvSpPr>
        <xdr:cNvPr id="11" name="Retângulo 10">
          <a:extLst>
            <a:ext uri="{FF2B5EF4-FFF2-40B4-BE49-F238E27FC236}">
              <a16:creationId xmlns:a16="http://schemas.microsoft.com/office/drawing/2014/main" id="{2EBE9DFE-19D6-46BA-AAC6-B481124FB53A}"/>
            </a:ext>
          </a:extLst>
        </xdr:cNvPr>
        <xdr:cNvSpPr/>
      </xdr:nvSpPr>
      <xdr:spPr>
        <a:xfrm>
          <a:off x="7956406" y="38780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7</xdr:col>
      <xdr:colOff>415539</xdr:colOff>
      <xdr:row>1</xdr:row>
      <xdr:rowOff>194788</xdr:rowOff>
    </xdr:from>
    <xdr:to>
      <xdr:col>8</xdr:col>
      <xdr:colOff>758439</xdr:colOff>
      <xdr:row>2</xdr:row>
      <xdr:rowOff>70021</xdr:rowOff>
    </xdr:to>
    <xdr:sp macro="[0]!NavegarMR" textlink="">
      <xdr:nvSpPr>
        <xdr:cNvPr id="12" name="Retângulo 11">
          <a:extLst>
            <a:ext uri="{FF2B5EF4-FFF2-40B4-BE49-F238E27FC236}">
              <a16:creationId xmlns:a16="http://schemas.microsoft.com/office/drawing/2014/main" id="{8E93FBD3-3FB8-4AC4-AD2C-96ACA2D86AD6}"/>
            </a:ext>
          </a:extLst>
        </xdr:cNvPr>
        <xdr:cNvSpPr/>
      </xdr:nvSpPr>
      <xdr:spPr>
        <a:xfrm>
          <a:off x="9668396" y="38319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892415</xdr:colOff>
      <xdr:row>1</xdr:row>
      <xdr:rowOff>211116</xdr:rowOff>
    </xdr:from>
    <xdr:to>
      <xdr:col>11</xdr:col>
      <xdr:colOff>21139</xdr:colOff>
      <xdr:row>2</xdr:row>
      <xdr:rowOff>86349</xdr:rowOff>
    </xdr:to>
    <xdr:sp macro="[0]!NavegarDashboard" textlink="">
      <xdr:nvSpPr>
        <xdr:cNvPr id="13" name="Retângulo 12">
          <a:extLst>
            <a:ext uri="{FF2B5EF4-FFF2-40B4-BE49-F238E27FC236}">
              <a16:creationId xmlns:a16="http://schemas.microsoft.com/office/drawing/2014/main" id="{E35F8A46-E36A-4B46-8EDB-8B1664FFF5CF}"/>
            </a:ext>
          </a:extLst>
        </xdr:cNvPr>
        <xdr:cNvSpPr/>
      </xdr:nvSpPr>
      <xdr:spPr>
        <a:xfrm>
          <a:off x="11390849" y="399523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1</xdr:col>
      <xdr:colOff>904876</xdr:colOff>
      <xdr:row>1</xdr:row>
      <xdr:rowOff>93157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6AD0A76-2FBB-457A-88C2-52551B7E73B5}"/>
            </a:ext>
          </a:extLst>
        </xdr:cNvPr>
        <xdr:cNvSpPr txBox="1"/>
      </xdr:nvSpPr>
      <xdr:spPr>
        <a:xfrm>
          <a:off x="238125" y="38100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1</xdr:col>
      <xdr:colOff>104775</xdr:colOff>
      <xdr:row>1</xdr:row>
      <xdr:rowOff>131257</xdr:rowOff>
    </xdr:from>
    <xdr:to>
      <xdr:col>2</xdr:col>
      <xdr:colOff>235927</xdr:colOff>
      <xdr:row>3</xdr:row>
      <xdr:rowOff>33704</xdr:rowOff>
    </xdr:to>
    <xdr:sp macro="[0]!NavegarCadastro" textlink="">
      <xdr:nvSpPr>
        <xdr:cNvPr id="3" name="Retângulo 2">
          <a:extLst>
            <a:ext uri="{FF2B5EF4-FFF2-40B4-BE49-F238E27FC236}">
              <a16:creationId xmlns:a16="http://schemas.microsoft.com/office/drawing/2014/main" id="{19FEB9B9-90D4-4D7B-B5CD-D13DC964C846}"/>
            </a:ext>
          </a:extLst>
        </xdr:cNvPr>
        <xdr:cNvSpPr/>
      </xdr:nvSpPr>
      <xdr:spPr>
        <a:xfrm>
          <a:off x="333375" y="321757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395445</xdr:colOff>
      <xdr:row>1</xdr:row>
      <xdr:rowOff>132931</xdr:rowOff>
    </xdr:from>
    <xdr:to>
      <xdr:col>4</xdr:col>
      <xdr:colOff>155122</xdr:colOff>
      <xdr:row>3</xdr:row>
      <xdr:rowOff>35378</xdr:rowOff>
    </xdr:to>
    <xdr:sp macro="[0]!NavegarControle" textlink="">
      <xdr:nvSpPr>
        <xdr:cNvPr id="4" name="Retângulo 3">
          <a:extLst>
            <a:ext uri="{FF2B5EF4-FFF2-40B4-BE49-F238E27FC236}">
              <a16:creationId xmlns:a16="http://schemas.microsoft.com/office/drawing/2014/main" id="{ADDA6241-1DF1-49CB-BE97-8E00187F2E5D}"/>
            </a:ext>
          </a:extLst>
        </xdr:cNvPr>
        <xdr:cNvSpPr/>
      </xdr:nvSpPr>
      <xdr:spPr>
        <a:xfrm>
          <a:off x="2081370" y="32343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258432</xdr:colOff>
      <xdr:row>1</xdr:row>
      <xdr:rowOff>134605</xdr:rowOff>
    </xdr:from>
    <xdr:to>
      <xdr:col>6</xdr:col>
      <xdr:colOff>18109</xdr:colOff>
      <xdr:row>3</xdr:row>
      <xdr:rowOff>37052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D0DFB75-2262-448E-9F25-55D62821D11A}"/>
            </a:ext>
          </a:extLst>
        </xdr:cNvPr>
        <xdr:cNvSpPr/>
      </xdr:nvSpPr>
      <xdr:spPr>
        <a:xfrm>
          <a:off x="3773157" y="325105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6</xdr:col>
      <xdr:colOff>159519</xdr:colOff>
      <xdr:row>1</xdr:row>
      <xdr:rowOff>134395</xdr:rowOff>
    </xdr:from>
    <xdr:to>
      <xdr:col>7</xdr:col>
      <xdr:colOff>833596</xdr:colOff>
      <xdr:row>3</xdr:row>
      <xdr:rowOff>36842</xdr:rowOff>
    </xdr:to>
    <xdr:sp macro="[0]!NavegarFluxo" textlink="">
      <xdr:nvSpPr>
        <xdr:cNvPr id="6" name="Retângulo 5">
          <a:extLst>
            <a:ext uri="{FF2B5EF4-FFF2-40B4-BE49-F238E27FC236}">
              <a16:creationId xmlns:a16="http://schemas.microsoft.com/office/drawing/2014/main" id="{353F2318-4A11-48A7-AB98-F4D7C23C324F}"/>
            </a:ext>
          </a:extLst>
        </xdr:cNvPr>
        <xdr:cNvSpPr/>
      </xdr:nvSpPr>
      <xdr:spPr>
        <a:xfrm>
          <a:off x="5503044" y="32489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8</xdr:col>
      <xdr:colOff>51081</xdr:colOff>
      <xdr:row>1</xdr:row>
      <xdr:rowOff>125602</xdr:rowOff>
    </xdr:from>
    <xdr:to>
      <xdr:col>9</xdr:col>
      <xdr:colOff>725158</xdr:colOff>
      <xdr:row>3</xdr:row>
      <xdr:rowOff>28049</xdr:rowOff>
    </xdr:to>
    <xdr:sp macro="[0]!NavegarMR" textlink="">
      <xdr:nvSpPr>
        <xdr:cNvPr id="7" name="Retângulo 6">
          <a:extLst>
            <a:ext uri="{FF2B5EF4-FFF2-40B4-BE49-F238E27FC236}">
              <a16:creationId xmlns:a16="http://schemas.microsoft.com/office/drawing/2014/main" id="{7082A656-12E0-45F1-AAB1-DE7D3E0B0559}"/>
            </a:ext>
          </a:extLst>
        </xdr:cNvPr>
        <xdr:cNvSpPr/>
      </xdr:nvSpPr>
      <xdr:spPr>
        <a:xfrm>
          <a:off x="7223406" y="31610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857985</xdr:colOff>
      <xdr:row>1</xdr:row>
      <xdr:rowOff>116809</xdr:rowOff>
    </xdr:from>
    <xdr:to>
      <xdr:col>11</xdr:col>
      <xdr:colOff>617662</xdr:colOff>
      <xdr:row>3</xdr:row>
      <xdr:rowOff>19256</xdr:rowOff>
    </xdr:to>
    <xdr:sp macro="[0]!NavegarDashboard" textlink="">
      <xdr:nvSpPr>
        <xdr:cNvPr id="8" name="Retângulo 7">
          <a:extLst>
            <a:ext uri="{FF2B5EF4-FFF2-40B4-BE49-F238E27FC236}">
              <a16:creationId xmlns:a16="http://schemas.microsoft.com/office/drawing/2014/main" id="{7C0B9A74-B54C-4BB5-B0AB-A0EE2FBED871}"/>
            </a:ext>
          </a:extLst>
        </xdr:cNvPr>
        <xdr:cNvSpPr/>
      </xdr:nvSpPr>
      <xdr:spPr>
        <a:xfrm>
          <a:off x="8944710" y="307309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182497</xdr:colOff>
      <xdr:row>0</xdr:row>
      <xdr:rowOff>0</xdr:rowOff>
    </xdr:from>
    <xdr:to>
      <xdr:col>2</xdr:col>
      <xdr:colOff>11597</xdr:colOff>
      <xdr:row>1</xdr:row>
      <xdr:rowOff>68856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ACAD7A5-2BE0-42D5-8BF0-44385DDEE170}"/>
            </a:ext>
          </a:extLst>
        </xdr:cNvPr>
        <xdr:cNvSpPr txBox="1"/>
      </xdr:nvSpPr>
      <xdr:spPr>
        <a:xfrm>
          <a:off x="423129" y="0"/>
          <a:ext cx="881863" cy="2593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1</xdr:col>
      <xdr:colOff>282711</xdr:colOff>
      <xdr:row>1</xdr:row>
      <xdr:rowOff>35523</xdr:rowOff>
    </xdr:from>
    <xdr:to>
      <xdr:col>2</xdr:col>
      <xdr:colOff>801884</xdr:colOff>
      <xdr:row>2</xdr:row>
      <xdr:rowOff>132848</xdr:rowOff>
    </xdr:to>
    <xdr:sp macro="[0]!NavegarCadastro" textlink="">
      <xdr:nvSpPr>
        <xdr:cNvPr id="3" name="Retângulo 2">
          <a:extLst>
            <a:ext uri="{FF2B5EF4-FFF2-40B4-BE49-F238E27FC236}">
              <a16:creationId xmlns:a16="http://schemas.microsoft.com/office/drawing/2014/main" id="{E4BC325C-D997-4471-8E51-78DC0A8B70FE}"/>
            </a:ext>
          </a:extLst>
        </xdr:cNvPr>
        <xdr:cNvSpPr/>
      </xdr:nvSpPr>
      <xdr:spPr>
        <a:xfrm>
          <a:off x="523705" y="224875"/>
          <a:ext cx="1574956" cy="286678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3</xdr:col>
      <xdr:colOff>39410</xdr:colOff>
      <xdr:row>1</xdr:row>
      <xdr:rowOff>33181</xdr:rowOff>
    </xdr:from>
    <xdr:to>
      <xdr:col>4</xdr:col>
      <xdr:colOff>699011</xdr:colOff>
      <xdr:row>2</xdr:row>
      <xdr:rowOff>121864</xdr:rowOff>
    </xdr:to>
    <xdr:sp macro="[0]!NavegarControle" textlink="">
      <xdr:nvSpPr>
        <xdr:cNvPr id="4" name="Retângulo 3">
          <a:extLst>
            <a:ext uri="{FF2B5EF4-FFF2-40B4-BE49-F238E27FC236}">
              <a16:creationId xmlns:a16="http://schemas.microsoft.com/office/drawing/2014/main" id="{27BC562B-3A53-4BC8-A38F-F0BB9E8936CE}"/>
            </a:ext>
          </a:extLst>
        </xdr:cNvPr>
        <xdr:cNvSpPr/>
      </xdr:nvSpPr>
      <xdr:spPr>
        <a:xfrm>
          <a:off x="2245199" y="223681"/>
          <a:ext cx="1571996" cy="279183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817297</xdr:colOff>
      <xdr:row>1</xdr:row>
      <xdr:rowOff>30590</xdr:rowOff>
    </xdr:from>
    <xdr:to>
      <xdr:col>6</xdr:col>
      <xdr:colOff>564503</xdr:colOff>
      <xdr:row>2</xdr:row>
      <xdr:rowOff>122384</xdr:rowOff>
    </xdr:to>
    <xdr:sp macro="[0]!NavegarMetas" textlink="">
      <xdr:nvSpPr>
        <xdr:cNvPr id="5" name="Retângulo 4">
          <a:extLst>
            <a:ext uri="{FF2B5EF4-FFF2-40B4-BE49-F238E27FC236}">
              <a16:creationId xmlns:a16="http://schemas.microsoft.com/office/drawing/2014/main" id="{6BC2BD30-B2B3-4522-B659-A3EEF896930E}"/>
            </a:ext>
          </a:extLst>
        </xdr:cNvPr>
        <xdr:cNvSpPr/>
      </xdr:nvSpPr>
      <xdr:spPr>
        <a:xfrm>
          <a:off x="3935481" y="221090"/>
          <a:ext cx="1571996" cy="282294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6</xdr:col>
      <xdr:colOff>692818</xdr:colOff>
      <xdr:row>1</xdr:row>
      <xdr:rowOff>30230</xdr:rowOff>
    </xdr:from>
    <xdr:to>
      <xdr:col>8</xdr:col>
      <xdr:colOff>440025</xdr:colOff>
      <xdr:row>2</xdr:row>
      <xdr:rowOff>122025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0AC49F6-F54A-4B65-A4A3-26086AB2B336}"/>
            </a:ext>
          </a:extLst>
        </xdr:cNvPr>
        <xdr:cNvSpPr/>
      </xdr:nvSpPr>
      <xdr:spPr>
        <a:xfrm>
          <a:off x="5635792" y="220730"/>
          <a:ext cx="1571996" cy="282295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8</xdr:col>
      <xdr:colOff>588389</xdr:colOff>
      <xdr:row>1</xdr:row>
      <xdr:rowOff>29160</xdr:rowOff>
    </xdr:from>
    <xdr:to>
      <xdr:col>10</xdr:col>
      <xdr:colOff>335595</xdr:colOff>
      <xdr:row>2</xdr:row>
      <xdr:rowOff>120954</xdr:rowOff>
    </xdr:to>
    <xdr:sp macro="[0]!NavegarMR" textlink="">
      <xdr:nvSpPr>
        <xdr:cNvPr id="7" name="Retângulo 6">
          <a:extLst>
            <a:ext uri="{FF2B5EF4-FFF2-40B4-BE49-F238E27FC236}">
              <a16:creationId xmlns:a16="http://schemas.microsoft.com/office/drawing/2014/main" id="{E873E943-CE83-4228-86FD-EAB37A7FCF5A}"/>
            </a:ext>
          </a:extLst>
        </xdr:cNvPr>
        <xdr:cNvSpPr/>
      </xdr:nvSpPr>
      <xdr:spPr>
        <a:xfrm>
          <a:off x="7356152" y="219660"/>
          <a:ext cx="1571996" cy="282294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464349</xdr:colOff>
      <xdr:row>1</xdr:row>
      <xdr:rowOff>23593</xdr:rowOff>
    </xdr:from>
    <xdr:to>
      <xdr:col>12</xdr:col>
      <xdr:colOff>211556</xdr:colOff>
      <xdr:row>2</xdr:row>
      <xdr:rowOff>120919</xdr:rowOff>
    </xdr:to>
    <xdr:sp macro="[0]!NavegarDashboard" textlink="">
      <xdr:nvSpPr>
        <xdr:cNvPr id="8" name="Retângulo 7">
          <a:extLst>
            <a:ext uri="{FF2B5EF4-FFF2-40B4-BE49-F238E27FC236}">
              <a16:creationId xmlns:a16="http://schemas.microsoft.com/office/drawing/2014/main" id="{1CF0C593-27C4-4326-8032-91553F8FD462}"/>
            </a:ext>
          </a:extLst>
        </xdr:cNvPr>
        <xdr:cNvSpPr/>
      </xdr:nvSpPr>
      <xdr:spPr>
        <a:xfrm>
          <a:off x="9056902" y="214093"/>
          <a:ext cx="1571996" cy="287826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200526</xdr:colOff>
      <xdr:row>0</xdr:row>
      <xdr:rowOff>0</xdr:rowOff>
    </xdr:from>
    <xdr:to>
      <xdr:col>1</xdr:col>
      <xdr:colOff>1095877</xdr:colOff>
      <xdr:row>1</xdr:row>
      <xdr:rowOff>55057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79F67A-AED6-4D99-88BD-54935B7A694E}"/>
            </a:ext>
          </a:extLst>
        </xdr:cNvPr>
        <xdr:cNvSpPr txBox="1"/>
      </xdr:nvSpPr>
      <xdr:spPr>
        <a:xfrm>
          <a:off x="381000" y="0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1</xdr:col>
      <xdr:colOff>277728</xdr:colOff>
      <xdr:row>1</xdr:row>
      <xdr:rowOff>34503</xdr:rowOff>
    </xdr:from>
    <xdr:to>
      <xdr:col>2</xdr:col>
      <xdr:colOff>412390</xdr:colOff>
      <xdr:row>2</xdr:row>
      <xdr:rowOff>127450</xdr:rowOff>
    </xdr:to>
    <xdr:sp macro="[0]!NavegarCadastro" textlink="">
      <xdr:nvSpPr>
        <xdr:cNvPr id="3" name="Retângulo 2">
          <a:extLst>
            <a:ext uri="{FF2B5EF4-FFF2-40B4-BE49-F238E27FC236}">
              <a16:creationId xmlns:a16="http://schemas.microsoft.com/office/drawing/2014/main" id="{E2CD9110-0A51-4F0C-A6FD-E9D9684EBA1B}"/>
            </a:ext>
          </a:extLst>
        </xdr:cNvPr>
        <xdr:cNvSpPr/>
      </xdr:nvSpPr>
      <xdr:spPr>
        <a:xfrm>
          <a:off x="458202" y="225003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563889</xdr:colOff>
      <xdr:row>1</xdr:row>
      <xdr:rowOff>26151</xdr:rowOff>
    </xdr:from>
    <xdr:to>
      <xdr:col>4</xdr:col>
      <xdr:colOff>46839</xdr:colOff>
      <xdr:row>2</xdr:row>
      <xdr:rowOff>119098</xdr:rowOff>
    </xdr:to>
    <xdr:sp macro="[0]!NavegarControle" textlink="">
      <xdr:nvSpPr>
        <xdr:cNvPr id="4" name="Retângulo 3">
          <a:extLst>
            <a:ext uri="{FF2B5EF4-FFF2-40B4-BE49-F238E27FC236}">
              <a16:creationId xmlns:a16="http://schemas.microsoft.com/office/drawing/2014/main" id="{1442706C-8527-421D-839E-2A122A6F7AD9}"/>
            </a:ext>
          </a:extLst>
        </xdr:cNvPr>
        <xdr:cNvSpPr/>
      </xdr:nvSpPr>
      <xdr:spPr>
        <a:xfrm>
          <a:off x="2198178" y="21665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188748</xdr:colOff>
      <xdr:row>1</xdr:row>
      <xdr:rowOff>27825</xdr:rowOff>
    </xdr:from>
    <xdr:to>
      <xdr:col>5</xdr:col>
      <xdr:colOff>724462</xdr:colOff>
      <xdr:row>2</xdr:row>
      <xdr:rowOff>120772</xdr:rowOff>
    </xdr:to>
    <xdr:sp macro="[0]!NavegarMetas" textlink="">
      <xdr:nvSpPr>
        <xdr:cNvPr id="5" name="Retângulo 4">
          <a:extLst>
            <a:ext uri="{FF2B5EF4-FFF2-40B4-BE49-F238E27FC236}">
              <a16:creationId xmlns:a16="http://schemas.microsoft.com/office/drawing/2014/main" id="{2AB43812-1D89-45D3-BFCE-F3D567205947}"/>
            </a:ext>
          </a:extLst>
        </xdr:cNvPr>
        <xdr:cNvSpPr/>
      </xdr:nvSpPr>
      <xdr:spPr>
        <a:xfrm>
          <a:off x="3928564" y="21832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5</xdr:col>
      <xdr:colOff>896454</xdr:colOff>
      <xdr:row>1</xdr:row>
      <xdr:rowOff>28618</xdr:rowOff>
    </xdr:from>
    <xdr:to>
      <xdr:col>7</xdr:col>
      <xdr:colOff>379405</xdr:colOff>
      <xdr:row>2</xdr:row>
      <xdr:rowOff>121565</xdr:rowOff>
    </xdr:to>
    <xdr:sp macro="[0]!NavegarFluxo" textlink="">
      <xdr:nvSpPr>
        <xdr:cNvPr id="6" name="Retângulo 5">
          <a:extLst>
            <a:ext uri="{FF2B5EF4-FFF2-40B4-BE49-F238E27FC236}">
              <a16:creationId xmlns:a16="http://schemas.microsoft.com/office/drawing/2014/main" id="{81ED8610-02D2-473A-B8D1-FFD021983796}"/>
            </a:ext>
          </a:extLst>
        </xdr:cNvPr>
        <xdr:cNvSpPr/>
      </xdr:nvSpPr>
      <xdr:spPr>
        <a:xfrm>
          <a:off x="5689033" y="219118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7</xdr:col>
      <xdr:colOff>571451</xdr:colOff>
      <xdr:row>1</xdr:row>
      <xdr:rowOff>29852</xdr:rowOff>
    </xdr:from>
    <xdr:to>
      <xdr:col>9</xdr:col>
      <xdr:colOff>54401</xdr:colOff>
      <xdr:row>2</xdr:row>
      <xdr:rowOff>122799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2E58EF2-82AC-45BD-963F-2D190228B881}"/>
            </a:ext>
          </a:extLst>
        </xdr:cNvPr>
        <xdr:cNvSpPr/>
      </xdr:nvSpPr>
      <xdr:spPr>
        <a:xfrm>
          <a:off x="7469556" y="220352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216804</xdr:colOff>
      <xdr:row>1</xdr:row>
      <xdr:rowOff>31085</xdr:rowOff>
    </xdr:from>
    <xdr:to>
      <xdr:col>10</xdr:col>
      <xdr:colOff>752518</xdr:colOff>
      <xdr:row>2</xdr:row>
      <xdr:rowOff>124032</xdr:rowOff>
    </xdr:to>
    <xdr:sp macro="[0]!NavegarDashboard" textlink="">
      <xdr:nvSpPr>
        <xdr:cNvPr id="8" name="Retângulo 7">
          <a:extLst>
            <a:ext uri="{FF2B5EF4-FFF2-40B4-BE49-F238E27FC236}">
              <a16:creationId xmlns:a16="http://schemas.microsoft.com/office/drawing/2014/main" id="{326F2E9D-B83E-4827-9969-5419EB506A6A}"/>
            </a:ext>
          </a:extLst>
        </xdr:cNvPr>
        <xdr:cNvSpPr/>
      </xdr:nvSpPr>
      <xdr:spPr>
        <a:xfrm>
          <a:off x="9220436" y="22158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508426</xdr:colOff>
      <xdr:row>2</xdr:row>
      <xdr:rowOff>0</xdr:rowOff>
    </xdr:from>
    <xdr:to>
      <xdr:col>24</xdr:col>
      <xdr:colOff>160985</xdr:colOff>
      <xdr:row>3</xdr:row>
      <xdr:rowOff>168910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3C8238E1-6213-47C7-9075-4F5B9BE20A86}"/>
            </a:ext>
          </a:extLst>
        </xdr:cNvPr>
        <xdr:cNvSpPr txBox="1"/>
      </xdr:nvSpPr>
      <xdr:spPr>
        <a:xfrm>
          <a:off x="11978672" y="375634"/>
          <a:ext cx="2671045" cy="35672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Despesas - Meta</a:t>
          </a:r>
          <a:r>
            <a:rPr lang="pt-BR" sz="1600" b="1" baseline="0"/>
            <a:t> x Realizado</a:t>
          </a:r>
          <a:endParaRPr lang="pt-BR" sz="1600" b="1"/>
        </a:p>
      </xdr:txBody>
    </xdr:sp>
    <xdr:clientData/>
  </xdr:twoCellAnchor>
  <xdr:twoCellAnchor>
    <xdr:from>
      <xdr:col>12</xdr:col>
      <xdr:colOff>101132</xdr:colOff>
      <xdr:row>1</xdr:row>
      <xdr:rowOff>183098</xdr:rowOff>
    </xdr:from>
    <xdr:to>
      <xdr:col>16</xdr:col>
      <xdr:colOff>241479</xdr:colOff>
      <xdr:row>3</xdr:row>
      <xdr:rowOff>120739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5DCE3E55-9493-41E7-B273-180D9544FC65}"/>
            </a:ext>
          </a:extLst>
        </xdr:cNvPr>
        <xdr:cNvSpPr txBox="1"/>
      </xdr:nvSpPr>
      <xdr:spPr>
        <a:xfrm>
          <a:off x="7345498" y="370915"/>
          <a:ext cx="2555136" cy="31327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Receitas - Meta</a:t>
          </a:r>
          <a:r>
            <a:rPr lang="pt-BR" sz="1600" b="1" baseline="0"/>
            <a:t> x Realizado</a:t>
          </a:r>
          <a:endParaRPr lang="pt-BR" sz="1600" b="1"/>
        </a:p>
      </xdr:txBody>
    </xdr:sp>
    <xdr:clientData/>
  </xdr:twoCellAnchor>
  <xdr:twoCellAnchor>
    <xdr:from>
      <xdr:col>4</xdr:col>
      <xdr:colOff>355879</xdr:colOff>
      <xdr:row>2</xdr:row>
      <xdr:rowOff>20934</xdr:rowOff>
    </xdr:from>
    <xdr:to>
      <xdr:col>7</xdr:col>
      <xdr:colOff>460550</xdr:colOff>
      <xdr:row>3</xdr:row>
      <xdr:rowOff>136071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D5E5BB11-9C84-DADA-FC74-BBFF91A4C40E}"/>
            </a:ext>
          </a:extLst>
        </xdr:cNvPr>
        <xdr:cNvSpPr txBox="1"/>
      </xdr:nvSpPr>
      <xdr:spPr>
        <a:xfrm>
          <a:off x="2784231" y="397747"/>
          <a:ext cx="1925934" cy="3035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Valores Acumulados</a:t>
          </a:r>
        </a:p>
      </xdr:txBody>
    </xdr:sp>
    <xdr:clientData/>
  </xdr:twoCellAnchor>
  <xdr:twoCellAnchor>
    <xdr:from>
      <xdr:col>0</xdr:col>
      <xdr:colOff>272143</xdr:colOff>
      <xdr:row>20</xdr:row>
      <xdr:rowOff>136071</xdr:rowOff>
    </xdr:from>
    <xdr:to>
      <xdr:col>1</xdr:col>
      <xdr:colOff>408215</xdr:colOff>
      <xdr:row>22</xdr:row>
      <xdr:rowOff>177939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9E1A90B-9188-4903-A2B9-D5597F4DACF3}"/>
            </a:ext>
          </a:extLst>
        </xdr:cNvPr>
        <xdr:cNvSpPr txBox="1"/>
      </xdr:nvSpPr>
      <xdr:spPr>
        <a:xfrm>
          <a:off x="272143" y="3904203"/>
          <a:ext cx="743160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Caixa</a:t>
          </a:r>
        </a:p>
      </xdr:txBody>
    </xdr:sp>
    <xdr:clientData/>
  </xdr:twoCellAnchor>
  <xdr:twoCellAnchor>
    <xdr:from>
      <xdr:col>0</xdr:col>
      <xdr:colOff>303544</xdr:colOff>
      <xdr:row>16</xdr:row>
      <xdr:rowOff>136073</xdr:rowOff>
    </xdr:from>
    <xdr:to>
      <xdr:col>1</xdr:col>
      <xdr:colOff>575687</xdr:colOff>
      <xdr:row>19</xdr:row>
      <xdr:rowOff>10468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632DFBB-7927-4EDD-ACC8-35DC6C327D7F}"/>
            </a:ext>
          </a:extLst>
        </xdr:cNvPr>
        <xdr:cNvSpPr txBox="1"/>
      </xdr:nvSpPr>
      <xdr:spPr>
        <a:xfrm>
          <a:off x="303544" y="3150578"/>
          <a:ext cx="879231" cy="4396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A Pagar</a:t>
          </a:r>
        </a:p>
        <a:p>
          <a:endParaRPr lang="pt-BR" sz="1100"/>
        </a:p>
      </xdr:txBody>
    </xdr:sp>
    <xdr:clientData/>
  </xdr:twoCellAnchor>
  <xdr:twoCellAnchor>
    <xdr:from>
      <xdr:col>0</xdr:col>
      <xdr:colOff>314010</xdr:colOff>
      <xdr:row>12</xdr:row>
      <xdr:rowOff>125606</xdr:rowOff>
    </xdr:from>
    <xdr:to>
      <xdr:col>2</xdr:col>
      <xdr:colOff>167472</xdr:colOff>
      <xdr:row>14</xdr:row>
      <xdr:rowOff>167474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4D5173BE-F809-422E-B01A-16B089CF2EFA}"/>
            </a:ext>
          </a:extLst>
        </xdr:cNvPr>
        <xdr:cNvSpPr txBox="1"/>
      </xdr:nvSpPr>
      <xdr:spPr>
        <a:xfrm>
          <a:off x="314010" y="2386485"/>
          <a:ext cx="1067638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A</a:t>
          </a:r>
          <a:r>
            <a:rPr lang="pt-BR" sz="1600" b="1" baseline="0"/>
            <a:t> Receber</a:t>
          </a:r>
          <a:endParaRPr lang="pt-BR" sz="1600" b="1"/>
        </a:p>
      </xdr:txBody>
    </xdr:sp>
    <xdr:clientData/>
  </xdr:twoCellAnchor>
  <xdr:twoCellAnchor>
    <xdr:from>
      <xdr:col>0</xdr:col>
      <xdr:colOff>293077</xdr:colOff>
      <xdr:row>8</xdr:row>
      <xdr:rowOff>115138</xdr:rowOff>
    </xdr:from>
    <xdr:to>
      <xdr:col>2</xdr:col>
      <xdr:colOff>418682</xdr:colOff>
      <xdr:row>10</xdr:row>
      <xdr:rowOff>157006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9BFAE45E-019D-4EA2-ABB9-A136484FB8AE}"/>
            </a:ext>
          </a:extLst>
        </xdr:cNvPr>
        <xdr:cNvSpPr txBox="1"/>
      </xdr:nvSpPr>
      <xdr:spPr>
        <a:xfrm>
          <a:off x="293077" y="1622391"/>
          <a:ext cx="1339781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Saldo do Mês</a:t>
          </a:r>
        </a:p>
      </xdr:txBody>
    </xdr:sp>
    <xdr:clientData/>
  </xdr:twoCellAnchor>
  <xdr:twoCellAnchor>
    <xdr:from>
      <xdr:col>0</xdr:col>
      <xdr:colOff>293076</xdr:colOff>
      <xdr:row>4</xdr:row>
      <xdr:rowOff>83739</xdr:rowOff>
    </xdr:from>
    <xdr:to>
      <xdr:col>2</xdr:col>
      <xdr:colOff>83736</xdr:colOff>
      <xdr:row>6</xdr:row>
      <xdr:rowOff>125606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38538BF5-0282-49A5-A357-7D5086A95D16}"/>
            </a:ext>
          </a:extLst>
        </xdr:cNvPr>
        <xdr:cNvSpPr txBox="1"/>
      </xdr:nvSpPr>
      <xdr:spPr>
        <a:xfrm>
          <a:off x="293076" y="837365"/>
          <a:ext cx="1004836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Despesas</a:t>
          </a:r>
        </a:p>
      </xdr:txBody>
    </xdr:sp>
    <xdr:clientData/>
  </xdr:twoCellAnchor>
  <xdr:twoCellAnchor>
    <xdr:from>
      <xdr:col>0</xdr:col>
      <xdr:colOff>282610</xdr:colOff>
      <xdr:row>0</xdr:row>
      <xdr:rowOff>73270</xdr:rowOff>
    </xdr:from>
    <xdr:to>
      <xdr:col>2</xdr:col>
      <xdr:colOff>31401</xdr:colOff>
      <xdr:row>2</xdr:row>
      <xdr:rowOff>115138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32A231F2-0D1D-2C63-65C0-D9C3128D6F6C}"/>
            </a:ext>
          </a:extLst>
        </xdr:cNvPr>
        <xdr:cNvSpPr txBox="1"/>
      </xdr:nvSpPr>
      <xdr:spPr>
        <a:xfrm>
          <a:off x="282610" y="73270"/>
          <a:ext cx="962967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0</xdr:col>
      <xdr:colOff>384769</xdr:colOff>
      <xdr:row>2</xdr:row>
      <xdr:rowOff>4920</xdr:rowOff>
    </xdr:from>
    <xdr:to>
      <xdr:col>4</xdr:col>
      <xdr:colOff>34856</xdr:colOff>
      <xdr:row>4</xdr:row>
      <xdr:rowOff>98077</xdr:rowOff>
    </xdr:to>
    <xdr:sp macro="" textlink="'Fluxo Caixa'!O6">
      <xdr:nvSpPr>
        <xdr:cNvPr id="2" name="Retângulo 1">
          <a:extLst>
            <a:ext uri="{FF2B5EF4-FFF2-40B4-BE49-F238E27FC236}">
              <a16:creationId xmlns:a16="http://schemas.microsoft.com/office/drawing/2014/main" id="{2CCF041C-194B-EBAD-72C3-00BC70CDEEB7}"/>
            </a:ext>
          </a:extLst>
        </xdr:cNvPr>
        <xdr:cNvSpPr/>
      </xdr:nvSpPr>
      <xdr:spPr>
        <a:xfrm>
          <a:off x="384769" y="381733"/>
          <a:ext cx="2078439" cy="46997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B137DF-F593-447B-8E91-64B34C28E1A6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386653</xdr:colOff>
      <xdr:row>6</xdr:row>
      <xdr:rowOff>30459</xdr:rowOff>
    </xdr:from>
    <xdr:to>
      <xdr:col>4</xdr:col>
      <xdr:colOff>36740</xdr:colOff>
      <xdr:row>8</xdr:row>
      <xdr:rowOff>125709</xdr:rowOff>
    </xdr:to>
    <xdr:sp macro="" textlink="'Fluxo Caixa'!O7">
      <xdr:nvSpPr>
        <xdr:cNvPr id="3" name="Retângulo 2">
          <a:extLst>
            <a:ext uri="{FF2B5EF4-FFF2-40B4-BE49-F238E27FC236}">
              <a16:creationId xmlns:a16="http://schemas.microsoft.com/office/drawing/2014/main" id="{8E57B306-65F0-43C7-99FD-0791CC01D65F}"/>
            </a:ext>
          </a:extLst>
        </xdr:cNvPr>
        <xdr:cNvSpPr/>
      </xdr:nvSpPr>
      <xdr:spPr>
        <a:xfrm>
          <a:off x="386653" y="1160899"/>
          <a:ext cx="2078439" cy="472063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536611B-0FF3-4C83-BC95-F456D56158E3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386652</xdr:colOff>
      <xdr:row>10</xdr:row>
      <xdr:rowOff>50557</xdr:rowOff>
    </xdr:from>
    <xdr:to>
      <xdr:col>4</xdr:col>
      <xdr:colOff>36739</xdr:colOff>
      <xdr:row>12</xdr:row>
      <xdr:rowOff>143714</xdr:rowOff>
    </xdr:to>
    <xdr:sp macro="" textlink="'Fluxo Caixa'!O8">
      <xdr:nvSpPr>
        <xdr:cNvPr id="4" name="Retângulo 3">
          <a:extLst>
            <a:ext uri="{FF2B5EF4-FFF2-40B4-BE49-F238E27FC236}">
              <a16:creationId xmlns:a16="http://schemas.microsoft.com/office/drawing/2014/main" id="{36301555-C77C-4627-8B22-13ECD84A3FE5}"/>
            </a:ext>
          </a:extLst>
        </xdr:cNvPr>
        <xdr:cNvSpPr/>
      </xdr:nvSpPr>
      <xdr:spPr>
        <a:xfrm>
          <a:off x="386652" y="1934623"/>
          <a:ext cx="2078439" cy="46997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C77BF2D-16F5-464A-9668-884D0364FBCD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387595</xdr:colOff>
      <xdr:row>14</xdr:row>
      <xdr:rowOff>69502</xdr:rowOff>
    </xdr:from>
    <xdr:to>
      <xdr:col>4</xdr:col>
      <xdr:colOff>37682</xdr:colOff>
      <xdr:row>16</xdr:row>
      <xdr:rowOff>164752</xdr:rowOff>
    </xdr:to>
    <xdr:sp macro="" textlink="'Fluxo Caixa'!O12">
      <xdr:nvSpPr>
        <xdr:cNvPr id="5" name="Retângulo 4">
          <a:extLst>
            <a:ext uri="{FF2B5EF4-FFF2-40B4-BE49-F238E27FC236}">
              <a16:creationId xmlns:a16="http://schemas.microsoft.com/office/drawing/2014/main" id="{B21B28FE-6239-498A-A2A5-8FFA457FC22B}"/>
            </a:ext>
          </a:extLst>
        </xdr:cNvPr>
        <xdr:cNvSpPr/>
      </xdr:nvSpPr>
      <xdr:spPr>
        <a:xfrm>
          <a:off x="387595" y="2707194"/>
          <a:ext cx="2078439" cy="472063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27D3A9E-A0B3-44BB-AACA-BBCB89AE2C31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384769</xdr:colOff>
      <xdr:row>18</xdr:row>
      <xdr:rowOff>71491</xdr:rowOff>
    </xdr:from>
    <xdr:to>
      <xdr:col>4</xdr:col>
      <xdr:colOff>34856</xdr:colOff>
      <xdr:row>20</xdr:row>
      <xdr:rowOff>164647</xdr:rowOff>
    </xdr:to>
    <xdr:sp macro="" textlink="'Fluxo Caixa'!O13">
      <xdr:nvSpPr>
        <xdr:cNvPr id="6" name="Retângulo 5">
          <a:extLst>
            <a:ext uri="{FF2B5EF4-FFF2-40B4-BE49-F238E27FC236}">
              <a16:creationId xmlns:a16="http://schemas.microsoft.com/office/drawing/2014/main" id="{4E4DE207-1EE5-41B9-B490-18AF53DC2C98}"/>
            </a:ext>
          </a:extLst>
        </xdr:cNvPr>
        <xdr:cNvSpPr/>
      </xdr:nvSpPr>
      <xdr:spPr>
        <a:xfrm>
          <a:off x="384769" y="3462810"/>
          <a:ext cx="2078439" cy="469969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A3C952-45A1-4F75-BAD2-93A809343FB1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380163</xdr:colOff>
      <xdr:row>22</xdr:row>
      <xdr:rowOff>77350</xdr:rowOff>
    </xdr:from>
    <xdr:to>
      <xdr:col>4</xdr:col>
      <xdr:colOff>30250</xdr:colOff>
      <xdr:row>24</xdr:row>
      <xdr:rowOff>170507</xdr:rowOff>
    </xdr:to>
    <xdr:sp macro="" textlink="'Fluxo Caixa'!O14">
      <xdr:nvSpPr>
        <xdr:cNvPr id="8" name="Retângulo 7">
          <a:extLst>
            <a:ext uri="{FF2B5EF4-FFF2-40B4-BE49-F238E27FC236}">
              <a16:creationId xmlns:a16="http://schemas.microsoft.com/office/drawing/2014/main" id="{F6D1C249-BEB4-44ED-9880-0A38390DD143}"/>
            </a:ext>
          </a:extLst>
        </xdr:cNvPr>
        <xdr:cNvSpPr/>
      </xdr:nvSpPr>
      <xdr:spPr>
        <a:xfrm>
          <a:off x="380163" y="4222295"/>
          <a:ext cx="2078439" cy="46997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F5D5BB3-84EF-4FFA-B52F-CBCE80B246D8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419726</xdr:colOff>
      <xdr:row>3</xdr:row>
      <xdr:rowOff>104670</xdr:rowOff>
    </xdr:from>
    <xdr:to>
      <xdr:col>12</xdr:col>
      <xdr:colOff>83736</xdr:colOff>
      <xdr:row>24</xdr:row>
      <xdr:rowOff>167471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EA9A57-63CF-AE2C-81BE-DD78D171D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194686</xdr:colOff>
      <xdr:row>3</xdr:row>
      <xdr:rowOff>104251</xdr:rowOff>
    </xdr:from>
    <xdr:to>
      <xdr:col>19</xdr:col>
      <xdr:colOff>471016</xdr:colOff>
      <xdr:row>24</xdr:row>
      <xdr:rowOff>177940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C02D1DF1-2273-3732-7FEC-9AD5D476D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586154</xdr:colOff>
      <xdr:row>3</xdr:row>
      <xdr:rowOff>104670</xdr:rowOff>
    </xdr:from>
    <xdr:to>
      <xdr:col>27</xdr:col>
      <xdr:colOff>255395</xdr:colOff>
      <xdr:row>24</xdr:row>
      <xdr:rowOff>178359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85681098-6956-4846-BB95-EB88B676A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335387</xdr:colOff>
      <xdr:row>25</xdr:row>
      <xdr:rowOff>134154</xdr:rowOff>
    </xdr:from>
    <xdr:to>
      <xdr:col>2</xdr:col>
      <xdr:colOff>23344</xdr:colOff>
      <xdr:row>27</xdr:row>
      <xdr:rowOff>4078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AD97060F-83AF-4483-81E2-82A0476556EC}"/>
            </a:ext>
          </a:extLst>
        </xdr:cNvPr>
        <xdr:cNvSpPr txBox="1"/>
      </xdr:nvSpPr>
      <xdr:spPr>
        <a:xfrm>
          <a:off x="335387" y="4829577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0</xdr:col>
      <xdr:colOff>412589</xdr:colOff>
      <xdr:row>26</xdr:row>
      <xdr:rowOff>171341</xdr:rowOff>
    </xdr:from>
    <xdr:to>
      <xdr:col>3</xdr:col>
      <xdr:colOff>189974</xdr:colOff>
      <xdr:row>28</xdr:row>
      <xdr:rowOff>79154</xdr:rowOff>
    </xdr:to>
    <xdr:sp macro="[0]!NavegarCadastro" textlink="">
      <xdr:nvSpPr>
        <xdr:cNvPr id="28" name="Retângulo 27">
          <a:extLst>
            <a:ext uri="{FF2B5EF4-FFF2-40B4-BE49-F238E27FC236}">
              <a16:creationId xmlns:a16="http://schemas.microsoft.com/office/drawing/2014/main" id="{4BDA55A3-C89F-4097-ACDE-CAB9E67774B7}"/>
            </a:ext>
          </a:extLst>
        </xdr:cNvPr>
        <xdr:cNvSpPr/>
      </xdr:nvSpPr>
      <xdr:spPr>
        <a:xfrm>
          <a:off x="412589" y="5054580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3</xdr:col>
      <xdr:colOff>341473</xdr:colOff>
      <xdr:row>26</xdr:row>
      <xdr:rowOff>162989</xdr:rowOff>
    </xdr:from>
    <xdr:to>
      <xdr:col>6</xdr:col>
      <xdr:colOff>118859</xdr:colOff>
      <xdr:row>28</xdr:row>
      <xdr:rowOff>70802</xdr:rowOff>
    </xdr:to>
    <xdr:sp macro="[0]!NavegarControle" textlink="">
      <xdr:nvSpPr>
        <xdr:cNvPr id="29" name="Retângulo 28">
          <a:extLst>
            <a:ext uri="{FF2B5EF4-FFF2-40B4-BE49-F238E27FC236}">
              <a16:creationId xmlns:a16="http://schemas.microsoft.com/office/drawing/2014/main" id="{5658B094-DF51-49E1-AD05-99C7638D79EF}"/>
            </a:ext>
          </a:extLst>
        </xdr:cNvPr>
        <xdr:cNvSpPr/>
      </xdr:nvSpPr>
      <xdr:spPr>
        <a:xfrm>
          <a:off x="2152565" y="5046228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260768</xdr:colOff>
      <xdr:row>26</xdr:row>
      <xdr:rowOff>164663</xdr:rowOff>
    </xdr:from>
    <xdr:to>
      <xdr:col>9</xdr:col>
      <xdr:colOff>38153</xdr:colOff>
      <xdr:row>28</xdr:row>
      <xdr:rowOff>72476</xdr:rowOff>
    </xdr:to>
    <xdr:sp macro="[0]!NavegarMetas" textlink="">
      <xdr:nvSpPr>
        <xdr:cNvPr id="30" name="Retângulo 29">
          <a:extLst>
            <a:ext uri="{FF2B5EF4-FFF2-40B4-BE49-F238E27FC236}">
              <a16:creationId xmlns:a16="http://schemas.microsoft.com/office/drawing/2014/main" id="{2DFED5B0-E921-488D-BC3C-02ADEE17D982}"/>
            </a:ext>
          </a:extLst>
        </xdr:cNvPr>
        <xdr:cNvSpPr/>
      </xdr:nvSpPr>
      <xdr:spPr>
        <a:xfrm>
          <a:off x="3882951" y="504790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9</xdr:col>
      <xdr:colOff>210145</xdr:colOff>
      <xdr:row>26</xdr:row>
      <xdr:rowOff>165456</xdr:rowOff>
    </xdr:from>
    <xdr:to>
      <xdr:col>11</xdr:col>
      <xdr:colOff>591228</xdr:colOff>
      <xdr:row>28</xdr:row>
      <xdr:rowOff>73269</xdr:rowOff>
    </xdr:to>
    <xdr:sp macro="[0]!NavegarFluxo" textlink="">
      <xdr:nvSpPr>
        <xdr:cNvPr id="31" name="Retângulo 30">
          <a:extLst>
            <a:ext uri="{FF2B5EF4-FFF2-40B4-BE49-F238E27FC236}">
              <a16:creationId xmlns:a16="http://schemas.microsoft.com/office/drawing/2014/main" id="{AB2038F8-AAD2-43B5-AB61-A61199BE96F7}"/>
            </a:ext>
          </a:extLst>
        </xdr:cNvPr>
        <xdr:cNvSpPr/>
      </xdr:nvSpPr>
      <xdr:spPr>
        <a:xfrm>
          <a:off x="5643420" y="504869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12</xdr:col>
      <xdr:colOff>179577</xdr:colOff>
      <xdr:row>26</xdr:row>
      <xdr:rowOff>166690</xdr:rowOff>
    </xdr:from>
    <xdr:to>
      <xdr:col>14</xdr:col>
      <xdr:colOff>560659</xdr:colOff>
      <xdr:row>28</xdr:row>
      <xdr:rowOff>74503</xdr:rowOff>
    </xdr:to>
    <xdr:sp macro="[0]!NavegarMR" textlink="">
      <xdr:nvSpPr>
        <xdr:cNvPr id="32" name="Retângulo 31">
          <a:extLst>
            <a:ext uri="{FF2B5EF4-FFF2-40B4-BE49-F238E27FC236}">
              <a16:creationId xmlns:a16="http://schemas.microsoft.com/office/drawing/2014/main" id="{F95C41FE-5B5E-4E5D-BE98-397ABC825298}"/>
            </a:ext>
          </a:extLst>
        </xdr:cNvPr>
        <xdr:cNvSpPr/>
      </xdr:nvSpPr>
      <xdr:spPr>
        <a:xfrm>
          <a:off x="7423943" y="5049929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119365</xdr:colOff>
      <xdr:row>26</xdr:row>
      <xdr:rowOff>167923</xdr:rowOff>
    </xdr:from>
    <xdr:to>
      <xdr:col>17</xdr:col>
      <xdr:colOff>500448</xdr:colOff>
      <xdr:row>28</xdr:row>
      <xdr:rowOff>75736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B12D49A2-746B-442B-8D3A-BCDB2459A1ED}"/>
            </a:ext>
          </a:extLst>
        </xdr:cNvPr>
        <xdr:cNvSpPr/>
      </xdr:nvSpPr>
      <xdr:spPr>
        <a:xfrm>
          <a:off x="9174823" y="5051162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P8"/>
  <sheetViews>
    <sheetView showGridLines="0" tabSelected="1" zoomScale="91" zoomScaleNormal="91" workbookViewId="0">
      <selection activeCell="B1" sqref="B1"/>
    </sheetView>
  </sheetViews>
  <sheetFormatPr defaultRowHeight="15" x14ac:dyDescent="0.25"/>
  <cols>
    <col min="1" max="1" width="18.7109375" customWidth="1"/>
    <col min="2" max="2" width="15.7109375" customWidth="1"/>
    <col min="3" max="3" width="9.7109375" bestFit="1" customWidth="1"/>
    <col min="4" max="4" width="11.7109375" customWidth="1"/>
    <col min="5" max="5" width="11.85546875" customWidth="1"/>
    <col min="6" max="6" width="22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  <col min="13" max="13" width="16.85546875" bestFit="1" customWidth="1"/>
  </cols>
  <sheetData>
    <row r="1" spans="1:16" ht="30.75" customHeight="1" x14ac:dyDescent="0.25">
      <c r="A1" s="2" t="s">
        <v>5</v>
      </c>
      <c r="B1" s="3">
        <v>2025</v>
      </c>
      <c r="L1" s="4"/>
    </row>
    <row r="2" spans="1:16" x14ac:dyDescent="0.25">
      <c r="L2" s="4"/>
    </row>
    <row r="3" spans="1:16" ht="24" customHeight="1" x14ac:dyDescent="0.25">
      <c r="C3" s="45" t="s">
        <v>0</v>
      </c>
      <c r="D3" s="45" t="s">
        <v>1</v>
      </c>
      <c r="E3" s="1"/>
      <c r="F3" s="45" t="s">
        <v>2</v>
      </c>
      <c r="G3" s="45" t="s">
        <v>1</v>
      </c>
      <c r="H3" s="1"/>
      <c r="I3" s="45" t="s">
        <v>3</v>
      </c>
      <c r="J3" s="1"/>
      <c r="K3" s="45" t="s">
        <v>4</v>
      </c>
      <c r="L3" s="46" t="s">
        <v>6</v>
      </c>
      <c r="M3" s="46" t="s">
        <v>39</v>
      </c>
    </row>
    <row r="8" spans="1:16" x14ac:dyDescent="0.25">
      <c r="B8" s="11"/>
      <c r="N8" s="38"/>
      <c r="O8" s="38"/>
      <c r="P8" s="39"/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zoomScale="91" zoomScaleNormal="91" workbookViewId="0">
      <selection activeCell="L23" sqref="L23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6"/>
    </row>
    <row r="2" spans="1:9" ht="32.25" customHeight="1" x14ac:dyDescent="0.25">
      <c r="A2" s="6"/>
    </row>
    <row r="3" spans="1:9" x14ac:dyDescent="0.25">
      <c r="A3" s="6"/>
    </row>
    <row r="4" spans="1:9" x14ac:dyDescent="0.25">
      <c r="A4" s="6"/>
    </row>
    <row r="5" spans="1:9" ht="32.25" customHeight="1" x14ac:dyDescent="0.25">
      <c r="A5" s="7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20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73"/>
  <sheetViews>
    <sheetView showGridLines="0" zoomScale="84" zoomScaleNormal="84" workbookViewId="0">
      <selection activeCell="I17" sqref="I17"/>
    </sheetView>
  </sheetViews>
  <sheetFormatPr defaultRowHeight="15" x14ac:dyDescent="0.25"/>
  <cols>
    <col min="1" max="1" width="3.42578125" customWidth="1"/>
    <col min="2" max="2" width="23.28515625" bestFit="1" customWidth="1"/>
    <col min="3" max="15" width="13.7109375" style="19" customWidth="1"/>
    <col min="16" max="16" width="11.140625" style="40" customWidth="1"/>
  </cols>
  <sheetData>
    <row r="2" spans="2:16" x14ac:dyDescent="0.25">
      <c r="B2" s="13"/>
    </row>
    <row r="4" spans="2:16" ht="13.5" customHeight="1" x14ac:dyDescent="0.25"/>
    <row r="5" spans="2:16" ht="25.5" customHeight="1" x14ac:dyDescent="0.25">
      <c r="B5" s="8" t="s">
        <v>9</v>
      </c>
      <c r="C5" s="37" t="s">
        <v>15</v>
      </c>
      <c r="D5" s="37" t="s">
        <v>16</v>
      </c>
      <c r="E5" s="37" t="s">
        <v>17</v>
      </c>
      <c r="F5" s="37" t="s">
        <v>18</v>
      </c>
      <c r="G5" s="37" t="s">
        <v>19</v>
      </c>
      <c r="H5" s="37" t="s">
        <v>20</v>
      </c>
      <c r="I5" s="37" t="s">
        <v>21</v>
      </c>
      <c r="J5" s="37" t="s">
        <v>22</v>
      </c>
      <c r="K5" s="37" t="s">
        <v>23</v>
      </c>
      <c r="L5" s="37" t="s">
        <v>24</v>
      </c>
      <c r="M5" s="37" t="s">
        <v>25</v>
      </c>
      <c r="N5" s="37" t="s">
        <v>26</v>
      </c>
      <c r="O5" s="37" t="s">
        <v>28</v>
      </c>
      <c r="P5" s="16" t="s">
        <v>29</v>
      </c>
    </row>
    <row r="6" spans="2:16" ht="26.25" customHeight="1" x14ac:dyDescent="0.25">
      <c r="B6" s="10" t="s">
        <v>27</v>
      </c>
      <c r="C6" s="14">
        <f>SUM($C$7:$C$10)</f>
        <v>0</v>
      </c>
      <c r="D6" s="14">
        <f>SUM($D$7:$D$10)</f>
        <v>0</v>
      </c>
      <c r="E6" s="14">
        <f>SUM($E$7:$E$10)</f>
        <v>0</v>
      </c>
      <c r="F6" s="14">
        <f>SUM($F$7:$F$10)</f>
        <v>0</v>
      </c>
      <c r="G6" s="14">
        <f>SUM($G$7:$G$10)</f>
        <v>0</v>
      </c>
      <c r="H6" s="14">
        <f>SUM($H$7:$H$10)</f>
        <v>0</v>
      </c>
      <c r="I6" s="14">
        <f>SUM($I$7:$I$10)</f>
        <v>0</v>
      </c>
      <c r="J6" s="14">
        <f>SUM($J$7:$J$10)</f>
        <v>0</v>
      </c>
      <c r="K6" s="14">
        <f>SUM($K$7:$K$10)</f>
        <v>0</v>
      </c>
      <c r="L6" s="14">
        <f>SUM($L$7:$L$10)</f>
        <v>0</v>
      </c>
      <c r="M6" s="14">
        <f>SUM($M$7:$M$10)</f>
        <v>0</v>
      </c>
      <c r="N6" s="14">
        <f>SUM($N$7:$N$10)</f>
        <v>0</v>
      </c>
      <c r="O6" s="14">
        <f>SUM(C6:N6)</f>
        <v>0</v>
      </c>
      <c r="P6" s="17">
        <f>1</f>
        <v>1</v>
      </c>
    </row>
    <row r="8" spans="2:16" s="13" customFormat="1" ht="26.25" customHeight="1" x14ac:dyDescent="0.25">
      <c r="B8" s="9" t="s">
        <v>30</v>
      </c>
      <c r="C8" s="15">
        <f>SUM($C$13:$C$18)</f>
        <v>0</v>
      </c>
      <c r="D8" s="15">
        <f>SUM($D$13:$D$18)</f>
        <v>0</v>
      </c>
      <c r="E8" s="15">
        <f>SUM($E$13:$E$18)</f>
        <v>0</v>
      </c>
      <c r="F8" s="15">
        <f>SUM($F$13:$F$18)</f>
        <v>0</v>
      </c>
      <c r="G8" s="15">
        <f>SUM($G$13:$G$18)</f>
        <v>0</v>
      </c>
      <c r="H8" s="15">
        <f>SUM($H$13:$H$18)</f>
        <v>0</v>
      </c>
      <c r="I8" s="15">
        <f>SUM($I$13:$I$18)</f>
        <v>0</v>
      </c>
      <c r="J8" s="15">
        <f>SUM($J$13:$J$18)</f>
        <v>0</v>
      </c>
      <c r="K8" s="15">
        <f>SUM($K$13:$K$18)</f>
        <v>0</v>
      </c>
      <c r="L8" s="15">
        <f>SUM($L$13:$L$18)</f>
        <v>0</v>
      </c>
      <c r="M8" s="15">
        <f>SUM($M$13:$M$18)</f>
        <v>0</v>
      </c>
      <c r="N8" s="15">
        <f>SUM($N$13:$N$18)</f>
        <v>0</v>
      </c>
      <c r="O8" s="15">
        <f>SUM($C$8:$N$8)</f>
        <v>0</v>
      </c>
      <c r="P8" s="18">
        <f>1</f>
        <v>1</v>
      </c>
    </row>
    <row r="9" spans="2:16" x14ac:dyDescent="0.25">
      <c r="P9"/>
    </row>
    <row r="10" spans="2:16" x14ac:dyDescent="0.25">
      <c r="P10"/>
    </row>
    <row r="11" spans="2:16" ht="15" customHeight="1" x14ac:dyDescent="0.25"/>
    <row r="12" spans="2:16" ht="15" customHeight="1" x14ac:dyDescent="0.25"/>
    <row r="13" spans="2:16" x14ac:dyDescent="0.25">
      <c r="P13"/>
    </row>
    <row r="14" spans="2:16" x14ac:dyDescent="0.25">
      <c r="P14"/>
    </row>
    <row r="15" spans="2:16" x14ac:dyDescent="0.25">
      <c r="P15"/>
    </row>
    <row r="16" spans="2:16" x14ac:dyDescent="0.25">
      <c r="P16"/>
    </row>
    <row r="17" spans="16:16" x14ac:dyDescent="0.25">
      <c r="P17"/>
    </row>
    <row r="18" spans="16:16" x14ac:dyDescent="0.25">
      <c r="P18"/>
    </row>
    <row r="19" spans="16:16" x14ac:dyDescent="0.25">
      <c r="P19" s="43"/>
    </row>
    <row r="20" spans="16:16" x14ac:dyDescent="0.25">
      <c r="P20" s="43"/>
    </row>
    <row r="21" spans="16:16" x14ac:dyDescent="0.25">
      <c r="P21" s="43"/>
    </row>
    <row r="22" spans="16:16" x14ac:dyDescent="0.25">
      <c r="P22" s="43"/>
    </row>
    <row r="23" spans="16:16" x14ac:dyDescent="0.25">
      <c r="P23" s="43"/>
    </row>
    <row r="24" spans="16:16" x14ac:dyDescent="0.25">
      <c r="P24" s="43"/>
    </row>
    <row r="25" spans="16:16" x14ac:dyDescent="0.25">
      <c r="P25" s="43"/>
    </row>
    <row r="26" spans="16:16" x14ac:dyDescent="0.25">
      <c r="P26" s="43"/>
    </row>
    <row r="27" spans="16:16" x14ac:dyDescent="0.25">
      <c r="P27" s="43"/>
    </row>
    <row r="28" spans="16:16" x14ac:dyDescent="0.25">
      <c r="P28" s="43"/>
    </row>
    <row r="29" spans="16:16" x14ac:dyDescent="0.25">
      <c r="P29" s="43"/>
    </row>
    <row r="30" spans="16:16" x14ac:dyDescent="0.25">
      <c r="P30" s="43"/>
    </row>
    <row r="31" spans="16:16" x14ac:dyDescent="0.25">
      <c r="P31" s="43"/>
    </row>
    <row r="32" spans="16:16" x14ac:dyDescent="0.25">
      <c r="P32" s="43"/>
    </row>
    <row r="35" spans="16:16" x14ac:dyDescent="0.25">
      <c r="P35" s="43"/>
    </row>
    <row r="36" spans="16:16" x14ac:dyDescent="0.25">
      <c r="P36" s="43"/>
    </row>
    <row r="37" spans="16:16" x14ac:dyDescent="0.25">
      <c r="P37" s="43"/>
    </row>
    <row r="38" spans="16:16" x14ac:dyDescent="0.25">
      <c r="P38" s="43"/>
    </row>
    <row r="39" spans="16:16" x14ac:dyDescent="0.25">
      <c r="P39" s="43"/>
    </row>
    <row r="40" spans="16:16" x14ac:dyDescent="0.25">
      <c r="P40" s="43"/>
    </row>
    <row r="41" spans="16:16" x14ac:dyDescent="0.25">
      <c r="P41" s="43"/>
    </row>
    <row r="42" spans="16:16" x14ac:dyDescent="0.25">
      <c r="P42" s="43"/>
    </row>
    <row r="43" spans="16:16" x14ac:dyDescent="0.25">
      <c r="P43" s="43"/>
    </row>
    <row r="45" spans="16:16" x14ac:dyDescent="0.25">
      <c r="P45" s="43"/>
    </row>
    <row r="46" spans="16:16" x14ac:dyDescent="0.25">
      <c r="P46" s="43"/>
    </row>
    <row r="102" spans="2:2" x14ac:dyDescent="0.25">
      <c r="B102" s="11"/>
    </row>
    <row r="103" spans="2:2" x14ac:dyDescent="0.25">
      <c r="B103" s="11"/>
    </row>
    <row r="104" spans="2:2" x14ac:dyDescent="0.25">
      <c r="B104" s="11"/>
    </row>
    <row r="105" spans="2:2" x14ac:dyDescent="0.25">
      <c r="B105" s="11"/>
    </row>
    <row r="106" spans="2:2" x14ac:dyDescent="0.25">
      <c r="B106" s="11"/>
    </row>
    <row r="107" spans="2:2" x14ac:dyDescent="0.25">
      <c r="B107" s="11"/>
    </row>
    <row r="108" spans="2:2" x14ac:dyDescent="0.25">
      <c r="B108" s="11"/>
    </row>
    <row r="109" spans="2:2" x14ac:dyDescent="0.25">
      <c r="B109" s="11"/>
    </row>
    <row r="110" spans="2:2" x14ac:dyDescent="0.25">
      <c r="B110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30" spans="2:2" x14ac:dyDescent="0.25">
      <c r="B130" s="11"/>
    </row>
    <row r="131" spans="2:2" x14ac:dyDescent="0.25">
      <c r="B131" s="11"/>
    </row>
    <row r="132" spans="2:2" x14ac:dyDescent="0.25">
      <c r="B132" s="11"/>
    </row>
    <row r="133" spans="2:2" x14ac:dyDescent="0.25">
      <c r="B133" s="11"/>
    </row>
    <row r="134" spans="2:2" x14ac:dyDescent="0.25">
      <c r="B134" s="11"/>
    </row>
    <row r="135" spans="2:2" x14ac:dyDescent="0.25">
      <c r="B135" s="11"/>
    </row>
    <row r="136" spans="2:2" x14ac:dyDescent="0.25">
      <c r="B136" s="11"/>
    </row>
    <row r="137" spans="2:2" x14ac:dyDescent="0.25">
      <c r="B137" s="11"/>
    </row>
    <row r="138" spans="2:2" x14ac:dyDescent="0.25">
      <c r="B138" s="11"/>
    </row>
    <row r="156" spans="2:2" x14ac:dyDescent="0.25">
      <c r="B156" s="11"/>
    </row>
    <row r="157" spans="2:2" x14ac:dyDescent="0.25">
      <c r="B157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2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B4:O14"/>
  <sheetViews>
    <sheetView showGridLines="0" zoomScale="95" zoomScaleNormal="95" workbookViewId="0">
      <selection activeCell="C6" sqref="C6"/>
    </sheetView>
  </sheetViews>
  <sheetFormatPr defaultRowHeight="15" x14ac:dyDescent="0.25"/>
  <cols>
    <col min="1" max="1" width="3.5703125" customWidth="1"/>
    <col min="2" max="2" width="15.85546875" customWidth="1"/>
    <col min="3" max="15" width="13.7109375" customWidth="1"/>
  </cols>
  <sheetData>
    <row r="4" spans="2:15" ht="30.75" customHeight="1" x14ac:dyDescent="0.25">
      <c r="B4" s="28" t="s">
        <v>31</v>
      </c>
      <c r="C4" s="29" t="s">
        <v>15</v>
      </c>
      <c r="D4" s="28" t="s">
        <v>16</v>
      </c>
      <c r="E4" s="28" t="s">
        <v>17</v>
      </c>
      <c r="F4" s="28" t="s">
        <v>18</v>
      </c>
      <c r="G4" s="28" t="s">
        <v>19</v>
      </c>
      <c r="H4" s="28" t="s">
        <v>20</v>
      </c>
      <c r="I4" s="28" t="s">
        <v>21</v>
      </c>
      <c r="J4" s="28" t="s">
        <v>22</v>
      </c>
      <c r="K4" s="28" t="s">
        <v>23</v>
      </c>
      <c r="L4" s="28" t="s">
        <v>24</v>
      </c>
      <c r="M4" s="28" t="s">
        <v>25</v>
      </c>
      <c r="N4" s="28" t="s">
        <v>26</v>
      </c>
      <c r="O4" s="28" t="s">
        <v>28</v>
      </c>
    </row>
    <row r="5" spans="2:15" ht="20.100000000000001" customHeight="1" x14ac:dyDescent="0.25">
      <c r="B5" s="21" t="s">
        <v>6</v>
      </c>
      <c r="C5" s="20">
        <f>SUMIF('Cadastro Inicial'!$M:$M,"Janeiro",'Cadastro Inicial'!$L:$L)</f>
        <v>0</v>
      </c>
      <c r="D5" s="20">
        <f ca="1">SUMIF('Cadastro Inicial'!$M:$M,"Fevereiro",'Cadastro Inicial'!$L:$L) + C9</f>
        <v>0</v>
      </c>
      <c r="E5" s="20">
        <f ca="1">SUMIF('Cadastro Inicial'!$M:$M,"Março",'Cadastro Inicial'!$L:$L) + D9</f>
        <v>0</v>
      </c>
      <c r="F5" s="20">
        <f ca="1">SUMIF('Cadastro Inicial'!$M:$M,"Abril",'Cadastro Inicial'!$L:$L) + E9</f>
        <v>0</v>
      </c>
      <c r="G5" s="20">
        <f ca="1">SUMIF('Cadastro Inicial'!$M:$M,"Maio",'Cadastro Inicial'!$L:$L) + F9</f>
        <v>0</v>
      </c>
      <c r="H5" s="20">
        <f ca="1">SUMIF('Cadastro Inicial'!$M:$M,"Junho",'Cadastro Inicial'!$L:$L) + G9</f>
        <v>0</v>
      </c>
      <c r="I5" s="20">
        <f ca="1">SUMIF('Cadastro Inicial'!$M:$M,"Julho",'Cadastro Inicial'!$L:$L) + H9</f>
        <v>0</v>
      </c>
      <c r="J5" s="20">
        <f ca="1">SUMIF('Cadastro Inicial'!$M:$M,"Agosto",'Cadastro Inicial'!$L:$L) + I9</f>
        <v>0</v>
      </c>
      <c r="K5" s="20">
        <f ca="1">SUMIF('Cadastro Inicial'!$M:$M,"Setembro",'Cadastro Inicial'!$L:$L) + J9</f>
        <v>0</v>
      </c>
      <c r="L5" s="20">
        <f ca="1">SUMIF('Cadastro Inicial'!$M:$M,"Outubro",'Cadastro Inicial'!$L:$L) + K9</f>
        <v>0</v>
      </c>
      <c r="M5" s="20">
        <f ca="1">SUMIF('Cadastro Inicial'!$M:$M,"Novembro",'Cadastro Inicial'!$L:$L) + L9</f>
        <v>0</v>
      </c>
      <c r="N5" s="20">
        <f ca="1">SUMIF('Cadastro Inicial'!$M:$M,"Dezembro",'Cadastro Inicial'!$L:$L) + M9</f>
        <v>0</v>
      </c>
      <c r="O5" s="30" t="e">
        <f t="array" aca="1" ref="O5" ca="1">INDEX(C5:N5, MATCH(1,(C5:N5&gt;0)*(C5:N5&lt;&gt;""), 0))</f>
        <v>#N/A</v>
      </c>
    </row>
    <row r="6" spans="2:15" ht="20.100000000000001" customHeight="1" x14ac:dyDescent="0.25">
      <c r="B6" s="22" t="s">
        <v>32</v>
      </c>
      <c r="C6" s="20">
        <f ca="1">SUMIFS(Controle!$E:$E,Controle!$A:$A,"&gt;=" &amp;DATE(YEAR(NOW()),1,1),Controle!$A:$A,"&lt;"&amp;DATE(YEAR(NOW()),2,1),Controle!$I:$I,"Pago",Controle!$D:$D,"Receita")</f>
        <v>0</v>
      </c>
      <c r="D6" s="20">
        <f ca="1">SUMIFS(Controle!$E:$E,Controle!$A:$A,"&gt;=" &amp;DATE(YEAR(NOW()),2,1),Controle!$A:$A,"&lt;"&amp;DATE(YEAR(NOW()),3,1),Controle!$I:$I,"Pago",Controle!$D:$D,"Receita")</f>
        <v>0</v>
      </c>
      <c r="E6" s="20">
        <f ca="1">SUMIFS(Controle!$E:$E,Controle!$A:$A,"&gt;=" &amp;DATE(YEAR(NOW()),3,1),Controle!$A:$A,"&lt;"&amp;DATE(YEAR(NOW()),4,1),Controle!$I:$I,"Pago",Controle!$D:$D,"Receita")</f>
        <v>0</v>
      </c>
      <c r="F6" s="20">
        <f ca="1">SUMIFS(Controle!$E:$E,Controle!$A:$A,"&gt;=" &amp;DATE(YEAR(NOW()),4,1),Controle!$A:$A,"&lt;"&amp;DATE(YEAR(NOW()),5,1),Controle!$I:$I,"Pago",Controle!$D:$D,"Receita")</f>
        <v>0</v>
      </c>
      <c r="G6" s="20">
        <f ca="1">SUMIFS(Controle!$E:$E,Controle!$A:$A,"&gt;=" &amp;DATE(YEAR(NOW()),5,1),Controle!$A:$A,"&lt;"&amp;DATE(YEAR(NOW()),6,1),Controle!$I:$I,"Pago",Controle!$D:$D,"Receita")</f>
        <v>0</v>
      </c>
      <c r="H6" s="20">
        <f ca="1">SUMIFS(Controle!$E:$E,Controle!$A:$A,"&gt;=" &amp;DATE(YEAR(NOW()),6,1),Controle!$A:$A,"&lt;"&amp;DATE(YEAR(NOW()),7,1),Controle!$I:$I,"Pago",Controle!$D:$D,"Receita")</f>
        <v>0</v>
      </c>
      <c r="I6" s="20">
        <f ca="1">SUMIFS(Controle!$E:$E,Controle!$A:$A,"&gt;=" &amp;DATE(YEAR(NOW()),7,1),Controle!$A:$A,"&lt;"&amp;DATE(YEAR(NOW()),8,1),Controle!$I:$I,"Pago",Controle!$D:$D,"Receita")</f>
        <v>0</v>
      </c>
      <c r="J6" s="20">
        <f ca="1">SUMIFS(Controle!$E:$E,Controle!$A:$A,"&gt;=" &amp;DATE(YEAR(NOW()),8,1),Controle!$A:$A,"&lt;"&amp;DATE(YEAR(NOW()),9,1),Controle!$I:$I,"Pago",Controle!$D:$D,"Receita")</f>
        <v>0</v>
      </c>
      <c r="K6" s="20">
        <f ca="1">SUMIFS(Controle!$E:$E,Controle!$A:$A,"&gt;=" &amp;DATE(YEAR(NOW()),9,1),Controle!$A:$A,"&lt;"&amp;DATE(YEAR(NOW()),10,1),Controle!$I:$I,"Pago",Controle!$D:$D,"Receita")</f>
        <v>0</v>
      </c>
      <c r="L6" s="20">
        <f ca="1">SUMIFS(Controle!$E:$E,Controle!$A:$A,"&gt;=" &amp;DATE(YEAR(NOW()),10,1),Controle!$A:$A,"&lt;"&amp;DATE(YEAR(NOW()),11,1),Controle!$I:$I,"Pago",Controle!$D:$D,"Receita")</f>
        <v>0</v>
      </c>
      <c r="M6" s="20">
        <f ca="1">SUMIFS(Controle!$E:$E,Controle!$A:$A,"&gt;=" &amp;DATE(YEAR(NOW()),11,1),Controle!$A:$A,"&lt;"&amp;DATE(YEAR(NOW()),12,1),Controle!$I:$I,"Pago",Controle!$D:$D,"Receita")</f>
        <v>0</v>
      </c>
      <c r="N6" s="20">
        <f ca="1">SUMIFS(Controle!$E:$E,Controle!$A:$A,"&gt;=" &amp;DATE(YEAR(NOW()),12,1),Controle!$A:$A,"&lt;"&amp;DATE(YEAR(NOW()),1,1),Controle!$I:$I,"Pago",Controle!$D:$D,"Receita")</f>
        <v>0</v>
      </c>
      <c r="O6" s="31">
        <f ca="1">SUM(C6:N6)</f>
        <v>0</v>
      </c>
    </row>
    <row r="7" spans="2:15" ht="20.100000000000001" customHeight="1" x14ac:dyDescent="0.25">
      <c r="B7" s="23" t="s">
        <v>33</v>
      </c>
      <c r="C7" s="20">
        <f ca="1">SUMIFS(Controle!$E:$E,Controle!$A:$A,"&gt;=" &amp;DATE(YEAR(NOW()),1,1),Controle!$A:$A,"&lt;"&amp;DATE(YEAR(NOW()),2,1),Controle!$I:$I,"Pago",Controle!$D:$D,"Despesa")</f>
        <v>0</v>
      </c>
      <c r="D7" s="20">
        <f ca="1">SUMIFS(Controle!$E:$E,Controle!$A:$A,"&gt;=" &amp;DATE(YEAR(NOW()),2,1),Controle!$A:$A,"&lt;"&amp;DATE(YEAR(NOW()),3,1),Controle!$I:$I,"Pago",Controle!$D:$D,"Despesa")</f>
        <v>0</v>
      </c>
      <c r="E7" s="20">
        <f ca="1">SUMIFS(Controle!$E:$E,Controle!$A:$A,"&gt;=" &amp;DATE(YEAR(NOW()),3,1),Controle!$A:$A,"&lt;"&amp;DATE(YEAR(NOW()),4,1),Controle!$I:$I,"Pago",Controle!$D:$D,"Despesa")</f>
        <v>0</v>
      </c>
      <c r="F7" s="20">
        <f ca="1">SUMIFS(Controle!$E:$E,Controle!$A:$A,"&gt;=" &amp;DATE(YEAR(NOW()),4,1),Controle!$A:$A,"&lt;"&amp;DATE(YEAR(NOW()),5,1),Controle!$I:$I,"Pago",Controle!$D:$D,"Despesa")</f>
        <v>0</v>
      </c>
      <c r="G7" s="20">
        <f ca="1">SUMIFS(Controle!$E:$E,Controle!$A:$A,"&gt;=" &amp;DATE(YEAR(NOW()),5,1),Controle!$A:$A,"&lt;"&amp;DATE(YEAR(NOW()),6,1),Controle!$I:$I,"Pago",Controle!$D:$D,"Despesa")</f>
        <v>0</v>
      </c>
      <c r="H7" s="20">
        <f ca="1">SUMIFS(Controle!$E:$E,Controle!$A:$A,"&gt;=" &amp;DATE(YEAR(NOW()),6,1),Controle!$A:$A,"&lt;"&amp;DATE(YEAR(NOW()),7,1),Controle!$I:$I,"Pago",Controle!$D:$D,"Despesa")</f>
        <v>0</v>
      </c>
      <c r="I7" s="20">
        <f ca="1">SUMIFS(Controle!$E:$E,Controle!$A:$A,"&gt;=" &amp;DATE(YEAR(NOW()),7,1),Controle!$A:$A,"&lt;"&amp;DATE(YEAR(NOW()),8,1),Controle!$I:$I,"Pago",Controle!$D:$D,"Despesa")</f>
        <v>0</v>
      </c>
      <c r="J7" s="20">
        <f ca="1">SUMIFS(Controle!$E:$E,Controle!$A:$A,"&gt;=" &amp;DATE(YEAR(NOW()),8,1),Controle!$A:$A,"&lt;"&amp;DATE(YEAR(NOW()),9,1),Controle!$I:$I,"Pago",Controle!$D:$D,"Despesa")</f>
        <v>0</v>
      </c>
      <c r="K7" s="20">
        <f ca="1">SUMIFS(Controle!$E:$E,Controle!$A:$A,"&gt;=" &amp;DATE(YEAR(NOW()),9,1),Controle!$A:$A,"&lt;"&amp;DATE(YEAR(NOW()),10,1),Controle!$I:$I,"Pago",Controle!$D:$D,"Despesa")</f>
        <v>0</v>
      </c>
      <c r="L7" s="20">
        <f ca="1">SUMIFS(Controle!$E:$E,Controle!$A:$A,"&gt;=" &amp;DATE(YEAR(NOW()),10,1),Controle!$A:$A,"&lt;"&amp;DATE(YEAR(NOW()),11,1),Controle!$I:$I,"Pago",Controle!$D:$D,"Despesa")</f>
        <v>0</v>
      </c>
      <c r="M7" s="20">
        <f ca="1">SUMIFS(Controle!$E:$E,Controle!$A:$A,"&gt;=" &amp;DATE(YEAR(NOW()),11,1),Controle!$A:$A,"&lt;"&amp;DATE(YEAR(NOW()),12,1),Controle!$I:$I,"Pago",Controle!$D:$D,"Despesa")</f>
        <v>0</v>
      </c>
      <c r="N7" s="20">
        <f ca="1">SUMIFS(Controle!$E:$E,Controle!$A:$A,"&gt;=" &amp;DATE(YEAR(NOW()),12,1),Controle!$A:$A,"&lt;"&amp;DATE(YEAR(NOW()),1,1),Controle!$I:$I,"Pago",Controle!$D:$D,"Despesa")</f>
        <v>0</v>
      </c>
      <c r="O7" s="32">
        <f ca="1">SUM(C7:N7)</f>
        <v>0</v>
      </c>
    </row>
    <row r="8" spans="2:15" ht="20.100000000000001" customHeight="1" x14ac:dyDescent="0.25">
      <c r="B8" s="24" t="s">
        <v>34</v>
      </c>
      <c r="C8" s="20">
        <f ca="1" xml:space="preserve">  C6 - C7</f>
        <v>0</v>
      </c>
      <c r="D8" s="20">
        <f t="shared" ref="D8:N8" ca="1" si="0" xml:space="preserve">  D6 - D7</f>
        <v>0</v>
      </c>
      <c r="E8" s="20">
        <f t="shared" ca="1" si="0"/>
        <v>0</v>
      </c>
      <c r="F8" s="20">
        <f t="shared" ca="1" si="0"/>
        <v>0</v>
      </c>
      <c r="G8" s="20">
        <f t="shared" ca="1" si="0"/>
        <v>0</v>
      </c>
      <c r="H8" s="20">
        <f t="shared" ca="1" si="0"/>
        <v>0</v>
      </c>
      <c r="I8" s="20">
        <f t="shared" ca="1" si="0"/>
        <v>0</v>
      </c>
      <c r="J8" s="20">
        <f t="shared" ca="1" si="0"/>
        <v>0</v>
      </c>
      <c r="K8" s="20">
        <f t="shared" ca="1" si="0"/>
        <v>0</v>
      </c>
      <c r="L8" s="20">
        <f t="shared" ca="1" si="0"/>
        <v>0</v>
      </c>
      <c r="M8" s="20">
        <f t="shared" ca="1" si="0"/>
        <v>0</v>
      </c>
      <c r="N8" s="20">
        <f t="shared" ca="1" si="0"/>
        <v>0</v>
      </c>
      <c r="O8" s="33">
        <f ca="1">SUM(C8:N8)</f>
        <v>0</v>
      </c>
    </row>
    <row r="9" spans="2:15" s="13" customFormat="1" ht="20.100000000000001" customHeight="1" x14ac:dyDescent="0.25">
      <c r="B9" s="24" t="s">
        <v>38</v>
      </c>
      <c r="C9" s="20">
        <f ca="1">C8+C5</f>
        <v>0</v>
      </c>
      <c r="D9" s="20">
        <f t="shared" ref="D9:N9" ca="1" si="1">D8+D5</f>
        <v>0</v>
      </c>
      <c r="E9" s="20">
        <f t="shared" ca="1" si="1"/>
        <v>0</v>
      </c>
      <c r="F9" s="20">
        <f t="shared" ca="1" si="1"/>
        <v>0</v>
      </c>
      <c r="G9" s="20">
        <f t="shared" ca="1" si="1"/>
        <v>0</v>
      </c>
      <c r="H9" s="20">
        <f t="shared" ca="1" si="1"/>
        <v>0</v>
      </c>
      <c r="I9" s="20">
        <f t="shared" ca="1" si="1"/>
        <v>0</v>
      </c>
      <c r="J9" s="20">
        <f t="shared" ca="1" si="1"/>
        <v>0</v>
      </c>
      <c r="K9" s="20">
        <f t="shared" ca="1" si="1"/>
        <v>0</v>
      </c>
      <c r="L9" s="20">
        <f t="shared" ca="1" si="1"/>
        <v>0</v>
      </c>
      <c r="M9" s="20">
        <f t="shared" ca="1" si="1"/>
        <v>0</v>
      </c>
      <c r="N9" s="20">
        <f t="shared" ca="1" si="1"/>
        <v>0</v>
      </c>
      <c r="O9" s="33">
        <f ca="1">N9</f>
        <v>0</v>
      </c>
    </row>
    <row r="10" spans="2:15" x14ac:dyDescent="0.25">
      <c r="B10" s="1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15" ht="15" customHeight="1" x14ac:dyDescent="0.25"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15" ht="20.100000000000001" customHeight="1" x14ac:dyDescent="0.25">
      <c r="B12" s="26" t="s">
        <v>35</v>
      </c>
      <c r="C12" s="20">
        <f ca="1">SUMIFS(Controle!$E:$E,Controle!$A:$A,"&gt;=" &amp;DATE(YEAR(NOW()),1,1),Controle!$A:$A,"&lt;"&amp;DATE(YEAR(NOW()),2,1),Controle!$I:$I,"Não Pago",Controle!$D:$D,"Receita")</f>
        <v>0</v>
      </c>
      <c r="D12" s="20">
        <f ca="1">SUMIFS(Controle!$E:$E,Controle!$A:$A,"&gt;=" &amp;DATE(YEAR(NOW()),2,1),Controle!$A:$A,"&lt;"&amp;DATE(YEAR(NOW()),3,1),Controle!$I:$I,"Não Pago",Controle!$D:$D,"Receita")</f>
        <v>0</v>
      </c>
      <c r="E12" s="20">
        <f ca="1">SUMIFS(Controle!$E:$E,Controle!$A:$A,"&gt;=" &amp;DATE(YEAR(NOW()),3,1),Controle!$A:$A,"&lt;"&amp;DATE(YEAR(NOW()),4,1),Controle!$I:$I,"Não Pago",Controle!$D:$D,"Receita")</f>
        <v>0</v>
      </c>
      <c r="F12" s="20">
        <f ca="1">SUMIFS(Controle!$E:$E,Controle!$A:$A,"&gt;=" &amp;DATE(YEAR(NOW()),4,1),Controle!$A:$A,"&lt;"&amp;DATE(YEAR(NOW()),5,1),Controle!$I:$I,"Não Pago",Controle!$D:$D,"Receita")</f>
        <v>0</v>
      </c>
      <c r="G12" s="20">
        <f ca="1">SUMIFS(Controle!$E:$E,Controle!$A:$A,"&gt;=" &amp;DATE(YEAR(NOW()),5,1),Controle!$A:$A,"&lt;"&amp;DATE(YEAR(NOW()),6,1),Controle!$I:$I,"Não Pago",Controle!$D:$D,"Receita")</f>
        <v>0</v>
      </c>
      <c r="H12" s="20">
        <f ca="1">SUMIFS(Controle!$E:$E,Controle!$A:$A,"&gt;=" &amp;DATE(YEAR(NOW()),6,1),Controle!$A:$A,"&lt;"&amp;DATE(YEAR(NOW()),7,1),Controle!$I:$I,"Não Pago",Controle!$D:$D,"Receita")</f>
        <v>0</v>
      </c>
      <c r="I12" s="20">
        <f ca="1">SUMIFS(Controle!$E:$E,Controle!$A:$A,"&gt;=" &amp;DATE(YEAR(NOW()),7,1),Controle!$A:$A,"&lt;"&amp;DATE(YEAR(NOW()),8,1),Controle!$I:$I,"Não Pago",Controle!$D:$D,"Receita")</f>
        <v>0</v>
      </c>
      <c r="J12" s="20">
        <f ca="1">SUMIFS(Controle!$E:$E,Controle!$A:$A,"&gt;=" &amp;DATE(YEAR(NOW()),8,1),Controle!$A:$A,"&lt;"&amp;DATE(YEAR(NOW()),9,1),Controle!$I:$I,"Não Pago",Controle!$D:$D,"Receita")</f>
        <v>0</v>
      </c>
      <c r="K12" s="20">
        <f ca="1">SUMIFS(Controle!$E:$E,Controle!$A:$A,"&gt;=" &amp;DATE(YEAR(NOW()),9,1),Controle!$A:$A,"&lt;"&amp;DATE(YEAR(NOW()),10,1),Controle!$I:$I,"Não Pago",Controle!$D:$D,"Receita")</f>
        <v>0</v>
      </c>
      <c r="L12" s="20">
        <f ca="1">SUMIFS(Controle!$E:$E,Controle!$A:$A,"&gt;=" &amp;DATE(YEAR(NOW()),10,1),Controle!$A:$A,"&lt;"&amp;DATE(YEAR(NOW()),11,1),Controle!$I:$I,"Não Pago",Controle!$D:$D,"Receita")</f>
        <v>0</v>
      </c>
      <c r="M12" s="20">
        <f ca="1">SUMIFS(Controle!$E:$E,Controle!$A:$A,"&gt;=" &amp;DATE(YEAR(NOW()),11,1),Controle!$A:$A,"&lt;"&amp;DATE(YEAR(NOW()),12,1),Controle!$I:$I,"Não Pago",Controle!$D:$D,"Receita")</f>
        <v>0</v>
      </c>
      <c r="N12" s="20">
        <f ca="1">SUMIFS(Controle!$E:$E,Controle!$A:$A,"&gt;=" &amp;DATE(YEAR(NOW()),12,1),Controle!$A:$A,"&lt;"&amp;DATE(YEAR(NOW()),1,1),Controle!$I:$I,"Não Pago",Controle!$D:$D,"Receita")</f>
        <v>0</v>
      </c>
      <c r="O12" s="34">
        <f ca="1">SUM(C12:N12)</f>
        <v>0</v>
      </c>
    </row>
    <row r="13" spans="2:15" ht="20.100000000000001" customHeight="1" x14ac:dyDescent="0.25">
      <c r="B13" s="27" t="s">
        <v>36</v>
      </c>
      <c r="C13" s="20">
        <f ca="1">SUMIFS(Controle!$E:$E,Controle!$A:$A,"&gt;=" &amp;DATE(YEAR(NOW()),1,1),Controle!$A:$A,"&lt;"&amp;DATE(YEAR(NOW()),2,1),Controle!$I:$I,"Não Pago",Controle!$D:$D,"Despesa")</f>
        <v>0</v>
      </c>
      <c r="D13" s="20">
        <f ca="1">SUMIFS(Controle!$E:$E,Controle!$A:$A,"&gt;=" &amp;DATE(YEAR(NOW()),2,1),Controle!$A:$A,"&lt;"&amp;DATE(YEAR(NOW()),3,1),Controle!$I:$I,"Não Pago",Controle!$D:$D,"Despesa")</f>
        <v>0</v>
      </c>
      <c r="E13" s="20">
        <f ca="1">SUMIFS(Controle!$E:$E,Controle!$A:$A,"&gt;=" &amp;DATE(YEAR(NOW()),3,1),Controle!$A:$A,"&lt;"&amp;DATE(YEAR(NOW()),4,1),Controle!$I:$I,"Não Pago",Controle!$D:$D,"Despesa")</f>
        <v>0</v>
      </c>
      <c r="F13" s="20">
        <f ca="1">SUMIFS(Controle!$E:$E,Controle!$A:$A,"&gt;=" &amp;DATE(YEAR(NOW()),4,1),Controle!$A:$A,"&lt;"&amp;DATE(YEAR(NOW()),5,1),Controle!$I:$I,"Não Pago",Controle!$D:$D,"Despesa")</f>
        <v>0</v>
      </c>
      <c r="G13" s="20">
        <f ca="1">SUMIFS(Controle!$E:$E,Controle!$A:$A,"&gt;=" &amp;DATE(YEAR(NOW()),5,1),Controle!$A:$A,"&lt;"&amp;DATE(YEAR(NOW()),6,1),Controle!$I:$I,"Não Pago",Controle!$D:$D,"Despesa")</f>
        <v>0</v>
      </c>
      <c r="H13" s="20">
        <f ca="1">SUMIFS(Controle!$E:$E,Controle!$A:$A,"&gt;=" &amp;DATE(YEAR(NOW()),6,1),Controle!$A:$A,"&lt;"&amp;DATE(YEAR(NOW()),7,1),Controle!$I:$I,"Não Pago",Controle!$D:$D,"Despesa")</f>
        <v>0</v>
      </c>
      <c r="I13" s="20">
        <f ca="1">SUMIFS(Controle!$E:$E,Controle!$A:$A,"&gt;=" &amp;DATE(YEAR(NOW()),7,1),Controle!$A:$A,"&lt;"&amp;DATE(YEAR(NOW()),8,1),Controle!$I:$I,"Não Pago",Controle!$D:$D,"Despesa")</f>
        <v>0</v>
      </c>
      <c r="J13" s="20">
        <f ca="1">SUMIFS(Controle!$E:$E,Controle!$A:$A,"&gt;=" &amp;DATE(YEAR(NOW()),8,1),Controle!$A:$A,"&lt;"&amp;DATE(YEAR(NOW()),9,1),Controle!$I:$I,"Não Pago",Controle!$D:$D,"Despesa")</f>
        <v>0</v>
      </c>
      <c r="K13" s="20">
        <f ca="1">SUMIFS(Controle!$E:$E,Controle!$A:$A,"&gt;=" &amp;DATE(YEAR(NOW()),9,1),Controle!$A:$A,"&lt;"&amp;DATE(YEAR(NOW()),10,1),Controle!$I:$I,"Não Pago",Controle!$D:$D,"Despesa")</f>
        <v>0</v>
      </c>
      <c r="L13" s="20">
        <f ca="1">SUMIFS(Controle!$E:$E,Controle!$A:$A,"&gt;=" &amp;DATE(YEAR(NOW()),10,1),Controle!$A:$A,"&lt;"&amp;DATE(YEAR(NOW()),11,1),Controle!$I:$I,"Não Pago",Controle!$D:$D,"Despesa")</f>
        <v>0</v>
      </c>
      <c r="M13" s="20">
        <f ca="1">SUMIFS(Controle!$E:$E,Controle!$A:$A,"&gt;=" &amp;DATE(YEAR(NOW()),11,1),Controle!$A:$A,"&lt;"&amp;DATE(YEAR(NOW()),12,1),Controle!$I:$I,"Não Pago",Controle!$D:$D,"Despesa")</f>
        <v>0</v>
      </c>
      <c r="N13" s="20">
        <f ca="1">SUMIFS(Controle!$E:$E,Controle!$A:$A,"&gt;=" &amp;DATE(YEAR(NOW()),12,1),Controle!$A:$A,"&lt;"&amp;DATE(YEAR(NOW()),1,1),Controle!$I:$I,"Não Pago",Controle!$D:$D,"Despesa")</f>
        <v>0</v>
      </c>
      <c r="O13" s="35">
        <f ca="1">SUM(C13:N13)</f>
        <v>0</v>
      </c>
    </row>
    <row r="14" spans="2:15" ht="20.100000000000001" customHeight="1" x14ac:dyDescent="0.25">
      <c r="B14" s="25" t="s">
        <v>37</v>
      </c>
      <c r="C14" s="20">
        <f ca="1">C12-C13</f>
        <v>0</v>
      </c>
      <c r="D14" s="20">
        <f t="shared" ref="D14:N14" ca="1" si="2">D12-D13</f>
        <v>0</v>
      </c>
      <c r="E14" s="20">
        <f t="shared" ca="1" si="2"/>
        <v>0</v>
      </c>
      <c r="F14" s="20">
        <f t="shared" ca="1" si="2"/>
        <v>0</v>
      </c>
      <c r="G14" s="20">
        <f t="shared" ca="1" si="2"/>
        <v>0</v>
      </c>
      <c r="H14" s="20">
        <f t="shared" ca="1" si="2"/>
        <v>0</v>
      </c>
      <c r="I14" s="20">
        <f t="shared" ca="1" si="2"/>
        <v>0</v>
      </c>
      <c r="J14" s="20">
        <f t="shared" ca="1" si="2"/>
        <v>0</v>
      </c>
      <c r="K14" s="20">
        <f t="shared" ca="1" si="2"/>
        <v>0</v>
      </c>
      <c r="L14" s="20">
        <f t="shared" ca="1" si="2"/>
        <v>0</v>
      </c>
      <c r="M14" s="20">
        <f t="shared" ca="1" si="2"/>
        <v>0</v>
      </c>
      <c r="N14" s="20">
        <f t="shared" ca="1" si="2"/>
        <v>0</v>
      </c>
      <c r="O14" s="36">
        <f ca="1">SUM(C14:N14)</f>
        <v>0</v>
      </c>
    </row>
  </sheetData>
  <phoneticPr fontId="5" type="noConversion"/>
  <conditionalFormatting sqref="C8:N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14:N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D085-3A2A-4E68-BB85-DEE4D7F364B5}">
  <sheetPr codeName="Planilha6"/>
  <dimension ref="B2:AL26"/>
  <sheetViews>
    <sheetView showGridLines="0" zoomScale="95" zoomScaleNormal="95" workbookViewId="0">
      <selection activeCell="J7" sqref="J7"/>
    </sheetView>
  </sheetViews>
  <sheetFormatPr defaultRowHeight="15" x14ac:dyDescent="0.25"/>
  <cols>
    <col min="1" max="1" width="2.7109375" customWidth="1"/>
    <col min="2" max="2" width="21.5703125" bestFit="1" customWidth="1"/>
    <col min="3" max="38" width="15.7109375" style="41" customWidth="1"/>
  </cols>
  <sheetData>
    <row r="2" spans="2:38" ht="15" customHeight="1" x14ac:dyDescent="0.25"/>
    <row r="3" spans="2:38" ht="15" customHeight="1" x14ac:dyDescent="0.25"/>
    <row r="4" spans="2:38" ht="25.5" customHeight="1" x14ac:dyDescent="0.25">
      <c r="B4" s="50" t="s">
        <v>9</v>
      </c>
      <c r="C4" s="47" t="s">
        <v>15</v>
      </c>
      <c r="D4" s="48"/>
      <c r="E4" s="49"/>
      <c r="F4" s="47" t="s">
        <v>16</v>
      </c>
      <c r="G4" s="48"/>
      <c r="H4" s="49"/>
      <c r="I4" s="47" t="s">
        <v>17</v>
      </c>
      <c r="J4" s="48"/>
      <c r="K4" s="49"/>
      <c r="L4" s="47" t="s">
        <v>18</v>
      </c>
      <c r="M4" s="48"/>
      <c r="N4" s="49"/>
      <c r="O4" s="47" t="s">
        <v>19</v>
      </c>
      <c r="P4" s="48"/>
      <c r="Q4" s="49"/>
      <c r="R4" s="47" t="s">
        <v>20</v>
      </c>
      <c r="S4" s="48"/>
      <c r="T4" s="49"/>
      <c r="U4" s="47" t="s">
        <v>21</v>
      </c>
      <c r="V4" s="48"/>
      <c r="W4" s="49"/>
      <c r="X4" s="47" t="s">
        <v>22</v>
      </c>
      <c r="Y4" s="48"/>
      <c r="Z4" s="49"/>
      <c r="AA4" s="47" t="s">
        <v>23</v>
      </c>
      <c r="AB4" s="48"/>
      <c r="AC4" s="49"/>
      <c r="AD4" s="47" t="s">
        <v>24</v>
      </c>
      <c r="AE4" s="48"/>
      <c r="AF4" s="49"/>
      <c r="AG4" s="47" t="s">
        <v>25</v>
      </c>
      <c r="AH4" s="48"/>
      <c r="AI4" s="49"/>
      <c r="AJ4" s="47" t="s">
        <v>26</v>
      </c>
      <c r="AK4" s="48"/>
      <c r="AL4" s="49"/>
    </row>
    <row r="5" spans="2:38" ht="24" customHeight="1" x14ac:dyDescent="0.25">
      <c r="B5" s="51"/>
      <c r="C5" s="42" t="s">
        <v>40</v>
      </c>
      <c r="D5" s="37" t="s">
        <v>41</v>
      </c>
      <c r="E5" s="37" t="s">
        <v>42</v>
      </c>
      <c r="F5" s="37" t="s">
        <v>40</v>
      </c>
      <c r="G5" s="37" t="s">
        <v>41</v>
      </c>
      <c r="H5" s="37" t="s">
        <v>42</v>
      </c>
      <c r="I5" s="37" t="s">
        <v>40</v>
      </c>
      <c r="J5" s="37" t="s">
        <v>41</v>
      </c>
      <c r="K5" s="37" t="s">
        <v>42</v>
      </c>
      <c r="L5" s="37" t="s">
        <v>40</v>
      </c>
      <c r="M5" s="37" t="s">
        <v>41</v>
      </c>
      <c r="N5" s="37" t="s">
        <v>42</v>
      </c>
      <c r="O5" s="37" t="s">
        <v>40</v>
      </c>
      <c r="P5" s="37" t="s">
        <v>41</v>
      </c>
      <c r="Q5" s="37" t="s">
        <v>42</v>
      </c>
      <c r="R5" s="37" t="s">
        <v>40</v>
      </c>
      <c r="S5" s="37" t="s">
        <v>41</v>
      </c>
      <c r="T5" s="37" t="s">
        <v>42</v>
      </c>
      <c r="U5" s="37" t="s">
        <v>40</v>
      </c>
      <c r="V5" s="37" t="s">
        <v>41</v>
      </c>
      <c r="W5" s="37" t="s">
        <v>42</v>
      </c>
      <c r="X5" s="37" t="s">
        <v>40</v>
      </c>
      <c r="Y5" s="37" t="s">
        <v>41</v>
      </c>
      <c r="Z5" s="37" t="s">
        <v>42</v>
      </c>
      <c r="AA5" s="37" t="s">
        <v>40</v>
      </c>
      <c r="AB5" s="37" t="s">
        <v>41</v>
      </c>
      <c r="AC5" s="37" t="s">
        <v>42</v>
      </c>
      <c r="AD5" s="37" t="s">
        <v>40</v>
      </c>
      <c r="AE5" s="37" t="s">
        <v>41</v>
      </c>
      <c r="AF5" s="37" t="s">
        <v>42</v>
      </c>
      <c r="AG5" s="37" t="s">
        <v>40</v>
      </c>
      <c r="AH5" s="37" t="s">
        <v>41</v>
      </c>
      <c r="AI5" s="37" t="s">
        <v>42</v>
      </c>
      <c r="AJ5" s="37" t="s">
        <v>40</v>
      </c>
      <c r="AK5" s="37" t="s">
        <v>41</v>
      </c>
      <c r="AL5" s="37" t="s">
        <v>42</v>
      </c>
    </row>
    <row r="6" spans="2:38" ht="26.25" customHeight="1" x14ac:dyDescent="0.25">
      <c r="B6" s="10" t="s">
        <v>27</v>
      </c>
      <c r="C6" s="14">
        <f>Metas!C6</f>
        <v>0</v>
      </c>
      <c r="D6" s="14">
        <f ca="1">'Fluxo Caixa'!C6</f>
        <v>0</v>
      </c>
      <c r="E6" s="14">
        <f ca="1">D6-C6</f>
        <v>0</v>
      </c>
      <c r="F6" s="14">
        <f>Metas!D6</f>
        <v>0</v>
      </c>
      <c r="G6" s="14">
        <f ca="1">'Fluxo Caixa'!D6</f>
        <v>0</v>
      </c>
      <c r="H6" s="14">
        <f ca="1">G6-F6</f>
        <v>0</v>
      </c>
      <c r="I6" s="14">
        <f>Metas!E6</f>
        <v>0</v>
      </c>
      <c r="J6" s="14">
        <f ca="1">'Fluxo Caixa'!E6</f>
        <v>0</v>
      </c>
      <c r="K6" s="14">
        <f ca="1">J6-I6</f>
        <v>0</v>
      </c>
      <c r="L6" s="14">
        <f>Metas!F6</f>
        <v>0</v>
      </c>
      <c r="M6" s="14">
        <f ca="1">'Fluxo Caixa'!F6</f>
        <v>0</v>
      </c>
      <c r="N6" s="14">
        <f ca="1">M6-L6</f>
        <v>0</v>
      </c>
      <c r="O6" s="14">
        <f>Metas!G6</f>
        <v>0</v>
      </c>
      <c r="P6" s="14">
        <f ca="1">'Fluxo Caixa'!G6</f>
        <v>0</v>
      </c>
      <c r="Q6" s="14">
        <f ca="1">P6-O6</f>
        <v>0</v>
      </c>
      <c r="R6" s="14">
        <f>Metas!H6</f>
        <v>0</v>
      </c>
      <c r="S6" s="14">
        <f ca="1">'Fluxo Caixa'!H6</f>
        <v>0</v>
      </c>
      <c r="T6" s="14">
        <f ca="1">S6-R6</f>
        <v>0</v>
      </c>
      <c r="U6" s="14">
        <f>Metas!I6</f>
        <v>0</v>
      </c>
      <c r="V6" s="14">
        <f ca="1">'Fluxo Caixa'!I6</f>
        <v>0</v>
      </c>
      <c r="W6" s="14">
        <f ca="1">V6-U6</f>
        <v>0</v>
      </c>
      <c r="X6" s="14">
        <f>Metas!J6</f>
        <v>0</v>
      </c>
      <c r="Y6" s="14">
        <f ca="1">'Fluxo Caixa'!J6</f>
        <v>0</v>
      </c>
      <c r="Z6" s="14">
        <f ca="1">Y6-X6</f>
        <v>0</v>
      </c>
      <c r="AA6" s="14">
        <f>Metas!K6</f>
        <v>0</v>
      </c>
      <c r="AB6" s="14">
        <f ca="1">'Fluxo Caixa'!K6</f>
        <v>0</v>
      </c>
      <c r="AC6" s="14">
        <f ca="1">AB6-AA6</f>
        <v>0</v>
      </c>
      <c r="AD6" s="14">
        <f>Metas!L6</f>
        <v>0</v>
      </c>
      <c r="AE6" s="14">
        <f ca="1">'Fluxo Caixa'!L6</f>
        <v>0</v>
      </c>
      <c r="AF6" s="14">
        <f ca="1">AE6-AD6</f>
        <v>0</v>
      </c>
      <c r="AG6" s="14">
        <f>Metas!M6</f>
        <v>0</v>
      </c>
      <c r="AH6" s="14">
        <f ca="1">'Fluxo Caixa'!M6</f>
        <v>0</v>
      </c>
      <c r="AI6" s="14">
        <f ca="1">AH6-AG6</f>
        <v>0</v>
      </c>
      <c r="AJ6" s="14">
        <f>Metas!N6</f>
        <v>0</v>
      </c>
      <c r="AK6" s="14">
        <f ca="1">'Fluxo Caixa'!N6</f>
        <v>0</v>
      </c>
      <c r="AL6" s="14">
        <f ca="1">AK6-AJ6</f>
        <v>0</v>
      </c>
    </row>
    <row r="7" spans="2:38" x14ac:dyDescent="0.25"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</row>
    <row r="8" spans="2:38" ht="26.25" customHeight="1" x14ac:dyDescent="0.25">
      <c r="B8" s="9" t="s">
        <v>30</v>
      </c>
      <c r="C8" s="15">
        <f>Metas!C8</f>
        <v>0</v>
      </c>
      <c r="D8" s="15">
        <f ca="1">'Fluxo Caixa'!C7</f>
        <v>0</v>
      </c>
      <c r="E8" s="15">
        <f ca="1">D8-C8</f>
        <v>0</v>
      </c>
      <c r="F8" s="15">
        <f>Metas!D8</f>
        <v>0</v>
      </c>
      <c r="G8" s="15">
        <f ca="1">'Fluxo Caixa'!D7</f>
        <v>0</v>
      </c>
      <c r="H8" s="15">
        <f t="shared" ref="H8" ca="1" si="0">G8-F8</f>
        <v>0</v>
      </c>
      <c r="I8" s="15">
        <f>Metas!E8</f>
        <v>0</v>
      </c>
      <c r="J8" s="15">
        <f ca="1">'Fluxo Caixa'!E7</f>
        <v>0</v>
      </c>
      <c r="K8" s="15">
        <f t="shared" ref="K8" ca="1" si="1">J8-I8</f>
        <v>0</v>
      </c>
      <c r="L8" s="15">
        <f>Metas!F8</f>
        <v>0</v>
      </c>
      <c r="M8" s="15">
        <f ca="1">'Fluxo Caixa'!F7</f>
        <v>0</v>
      </c>
      <c r="N8" s="15">
        <f t="shared" ref="N8" ca="1" si="2">M8-L8</f>
        <v>0</v>
      </c>
      <c r="O8" s="15">
        <f>Metas!G8</f>
        <v>0</v>
      </c>
      <c r="P8" s="15">
        <f ca="1">'Fluxo Caixa'!G7</f>
        <v>0</v>
      </c>
      <c r="Q8" s="15">
        <f ca="1">P8-O8</f>
        <v>0</v>
      </c>
      <c r="R8" s="15">
        <f>Metas!H8</f>
        <v>0</v>
      </c>
      <c r="S8" s="15">
        <f ca="1">'Fluxo Caixa'!H7</f>
        <v>0</v>
      </c>
      <c r="T8" s="15">
        <f t="shared" ref="T8" ca="1" si="3">S8-R8</f>
        <v>0</v>
      </c>
      <c r="U8" s="15">
        <f>Metas!I8</f>
        <v>0</v>
      </c>
      <c r="V8" s="15">
        <f ca="1">'Fluxo Caixa'!I7</f>
        <v>0</v>
      </c>
      <c r="W8" s="15">
        <f t="shared" ref="W8" ca="1" si="4">V8-U8</f>
        <v>0</v>
      </c>
      <c r="X8" s="15">
        <f>Metas!J8</f>
        <v>0</v>
      </c>
      <c r="Y8" s="15">
        <f ca="1">'Fluxo Caixa'!J7</f>
        <v>0</v>
      </c>
      <c r="Z8" s="15">
        <f t="shared" ref="Z8" ca="1" si="5">Y8-X8</f>
        <v>0</v>
      </c>
      <c r="AA8" s="15">
        <f>Metas!K8</f>
        <v>0</v>
      </c>
      <c r="AB8" s="15">
        <f ca="1">'Fluxo Caixa'!K7</f>
        <v>0</v>
      </c>
      <c r="AC8" s="15">
        <f t="shared" ref="AC8" ca="1" si="6">AB8-AA8</f>
        <v>0</v>
      </c>
      <c r="AD8" s="15">
        <f>Metas!L8</f>
        <v>0</v>
      </c>
      <c r="AE8" s="15">
        <f ca="1">'Fluxo Caixa'!L7</f>
        <v>0</v>
      </c>
      <c r="AF8" s="15">
        <f t="shared" ref="AF8" ca="1" si="7">AE8-AD8</f>
        <v>0</v>
      </c>
      <c r="AG8" s="15">
        <f>Metas!M8</f>
        <v>0</v>
      </c>
      <c r="AH8" s="15">
        <f ca="1">'Fluxo Caixa'!M7</f>
        <v>0</v>
      </c>
      <c r="AI8" s="15">
        <f t="shared" ref="AI8" ca="1" si="8">AH8-AG8</f>
        <v>0</v>
      </c>
      <c r="AJ8" s="15">
        <f>Metas!N8</f>
        <v>0</v>
      </c>
      <c r="AK8" s="15">
        <f ca="1">'Fluxo Caixa'!N7</f>
        <v>0</v>
      </c>
      <c r="AL8" s="15">
        <f t="shared" ref="AL8" ca="1" si="9">AK8-AJ8</f>
        <v>0</v>
      </c>
    </row>
    <row r="9" spans="2:38" x14ac:dyDescent="0.25"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</row>
    <row r="10" spans="2:38" x14ac:dyDescent="0.25"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</row>
    <row r="11" spans="2:38" s="44" customFormat="1" ht="15" customHeight="1" x14ac:dyDescent="0.25">
      <c r="B11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2:38" ht="15" customHeight="1" x14ac:dyDescent="0.25"/>
    <row r="13" spans="2:38" x14ac:dyDescent="0.25"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</row>
    <row r="14" spans="2:38" x14ac:dyDescent="0.25"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</row>
    <row r="15" spans="2:38" x14ac:dyDescent="0.25"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</row>
    <row r="16" spans="2:38" x14ac:dyDescent="0.25"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</row>
    <row r="17" spans="3:38" x14ac:dyDescent="0.25"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</row>
    <row r="18" spans="3:38" x14ac:dyDescent="0.25"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</row>
    <row r="19" spans="3:38" x14ac:dyDescent="0.25"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</row>
    <row r="20" spans="3:38" x14ac:dyDescent="0.25"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</row>
    <row r="21" spans="3:38" x14ac:dyDescent="0.25"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</row>
    <row r="22" spans="3:38" x14ac:dyDescent="0.25"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</row>
    <row r="23" spans="3:38" x14ac:dyDescent="0.25"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</row>
    <row r="24" spans="3:38" x14ac:dyDescent="0.25"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</row>
    <row r="25" spans="3:38" x14ac:dyDescent="0.25"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</row>
    <row r="26" spans="3:38" x14ac:dyDescent="0.25"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</row>
  </sheetData>
  <mergeCells count="13">
    <mergeCell ref="AA4:AC4"/>
    <mergeCell ref="AD4:AF4"/>
    <mergeCell ref="AG4:AI4"/>
    <mergeCell ref="AJ4:AL4"/>
    <mergeCell ref="B4:B5"/>
    <mergeCell ref="C4:E4"/>
    <mergeCell ref="F4:H4"/>
    <mergeCell ref="I4:K4"/>
    <mergeCell ref="L4:N4"/>
    <mergeCell ref="O4:Q4"/>
    <mergeCell ref="R4:T4"/>
    <mergeCell ref="U4:W4"/>
    <mergeCell ref="X4:Z4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showGridLines="0" zoomScale="71" zoomScaleNormal="71" workbookViewId="0">
      <selection activeCell="AA30" sqref="AA3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98DD7-FA92-4F5A-AE52-F015A19F1206}">
  <sheetPr codeName="Planilha7"/>
  <dimension ref="A2:H14"/>
  <sheetViews>
    <sheetView workbookViewId="0">
      <selection activeCell="H15" sqref="H15"/>
    </sheetView>
  </sheetViews>
  <sheetFormatPr defaultRowHeight="15" x14ac:dyDescent="0.25"/>
  <cols>
    <col min="2" max="2" width="10.7109375" style="19" bestFit="1" customWidth="1"/>
    <col min="3" max="3" width="12.7109375" style="19" bestFit="1" customWidth="1"/>
    <col min="7" max="7" width="15.140625" customWidth="1"/>
    <col min="8" max="8" width="14.28515625" customWidth="1"/>
  </cols>
  <sheetData>
    <row r="2" spans="1:8" x14ac:dyDescent="0.25">
      <c r="A2" t="s">
        <v>43</v>
      </c>
      <c r="B2" s="19" t="s">
        <v>40</v>
      </c>
      <c r="C2" s="19" t="s">
        <v>41</v>
      </c>
      <c r="F2" t="s">
        <v>43</v>
      </c>
      <c r="G2" s="19" t="s">
        <v>40</v>
      </c>
      <c r="H2" s="19" t="s">
        <v>41</v>
      </c>
    </row>
    <row r="3" spans="1:8" x14ac:dyDescent="0.25">
      <c r="A3" t="s">
        <v>44</v>
      </c>
      <c r="B3" s="19">
        <f>MetaXRealizado!C6</f>
        <v>0</v>
      </c>
      <c r="C3" s="19">
        <f ca="1">MetaXRealizado!D6</f>
        <v>0</v>
      </c>
      <c r="F3" t="s">
        <v>44</v>
      </c>
      <c r="G3" s="19">
        <f>MetaXRealizado!C8</f>
        <v>0</v>
      </c>
      <c r="H3" s="19">
        <f ca="1">MetaXRealizado!D8</f>
        <v>0</v>
      </c>
    </row>
    <row r="4" spans="1:8" x14ac:dyDescent="0.25">
      <c r="A4" t="s">
        <v>45</v>
      </c>
      <c r="B4" s="19">
        <f>MetaXRealizado!F6</f>
        <v>0</v>
      </c>
      <c r="C4" s="19">
        <f ca="1">MetaXRealizado!G6</f>
        <v>0</v>
      </c>
      <c r="F4" t="s">
        <v>45</v>
      </c>
      <c r="G4" s="19">
        <f>MetaXRealizado!F8</f>
        <v>0</v>
      </c>
      <c r="H4" s="19">
        <f ca="1">MetaXRealizado!G8</f>
        <v>0</v>
      </c>
    </row>
    <row r="5" spans="1:8" x14ac:dyDescent="0.25">
      <c r="A5" t="s">
        <v>46</v>
      </c>
      <c r="B5" s="19">
        <f>MetaXRealizado!I6</f>
        <v>0</v>
      </c>
      <c r="C5" s="19">
        <f ca="1">MetaXRealizado!J6</f>
        <v>0</v>
      </c>
      <c r="F5" t="s">
        <v>46</v>
      </c>
      <c r="G5" s="19">
        <f>MetaXRealizado!I8</f>
        <v>0</v>
      </c>
      <c r="H5" s="19">
        <f ca="1">MetaXRealizado!J8</f>
        <v>0</v>
      </c>
    </row>
    <row r="6" spans="1:8" x14ac:dyDescent="0.25">
      <c r="A6" t="s">
        <v>47</v>
      </c>
      <c r="B6" s="19">
        <f>MetaXRealizado!L6</f>
        <v>0</v>
      </c>
      <c r="C6" s="19">
        <f ca="1">MetaXRealizado!M6</f>
        <v>0</v>
      </c>
      <c r="F6" t="s">
        <v>47</v>
      </c>
      <c r="G6" s="19">
        <f>MetaXRealizado!L8</f>
        <v>0</v>
      </c>
      <c r="H6" s="19">
        <f ca="1">MetaXRealizado!M8</f>
        <v>0</v>
      </c>
    </row>
    <row r="7" spans="1:8" x14ac:dyDescent="0.25">
      <c r="A7" t="s">
        <v>48</v>
      </c>
      <c r="B7" s="19">
        <f>MetaXRealizado!O6</f>
        <v>0</v>
      </c>
      <c r="C7" s="19">
        <f ca="1">MetaXRealizado!P6</f>
        <v>0</v>
      </c>
      <c r="F7" t="s">
        <v>48</v>
      </c>
      <c r="G7" s="19">
        <f>MetaXRealizado!O8</f>
        <v>0</v>
      </c>
      <c r="H7" s="19">
        <f ca="1">MetaXRealizado!P8</f>
        <v>0</v>
      </c>
    </row>
    <row r="8" spans="1:8" x14ac:dyDescent="0.25">
      <c r="A8" t="s">
        <v>49</v>
      </c>
      <c r="B8" s="19">
        <f>MetaXRealizado!R6</f>
        <v>0</v>
      </c>
      <c r="C8" s="19">
        <f ca="1">MetaXRealizado!S6</f>
        <v>0</v>
      </c>
      <c r="F8" t="s">
        <v>49</v>
      </c>
      <c r="G8" s="19">
        <f>MetaXRealizado!R8</f>
        <v>0</v>
      </c>
      <c r="H8" s="19">
        <f ca="1">MetaXRealizado!S8</f>
        <v>0</v>
      </c>
    </row>
    <row r="9" spans="1:8" x14ac:dyDescent="0.25">
      <c r="A9" t="s">
        <v>50</v>
      </c>
      <c r="B9" s="19">
        <f>MetaXRealizado!U6</f>
        <v>0</v>
      </c>
      <c r="C9" s="19">
        <f ca="1">MetaXRealizado!V6</f>
        <v>0</v>
      </c>
      <c r="F9" t="s">
        <v>50</v>
      </c>
      <c r="G9" s="19">
        <f>MetaXRealizado!U8</f>
        <v>0</v>
      </c>
      <c r="H9" s="19">
        <f ca="1">MetaXRealizado!V8</f>
        <v>0</v>
      </c>
    </row>
    <row r="10" spans="1:8" x14ac:dyDescent="0.25">
      <c r="A10" t="s">
        <v>51</v>
      </c>
      <c r="B10" s="19">
        <f>MetaXRealizado!X6</f>
        <v>0</v>
      </c>
      <c r="C10" s="19">
        <f ca="1">MetaXRealizado!Y6</f>
        <v>0</v>
      </c>
      <c r="F10" t="s">
        <v>51</v>
      </c>
      <c r="G10" s="19">
        <f>MetaXRealizado!X8</f>
        <v>0</v>
      </c>
      <c r="H10" s="19">
        <f ca="1">MetaXRealizado!Y8</f>
        <v>0</v>
      </c>
    </row>
    <row r="11" spans="1:8" x14ac:dyDescent="0.25">
      <c r="A11" t="s">
        <v>52</v>
      </c>
      <c r="B11" s="19">
        <f>MetaXRealizado!AA6</f>
        <v>0</v>
      </c>
      <c r="C11" s="19">
        <f ca="1">MetaXRealizado!AB6</f>
        <v>0</v>
      </c>
      <c r="F11" t="s">
        <v>52</v>
      </c>
      <c r="G11" s="19">
        <f>MetaXRealizado!AA8</f>
        <v>0</v>
      </c>
      <c r="H11" s="19">
        <f ca="1">MetaXRealizado!AB8</f>
        <v>0</v>
      </c>
    </row>
    <row r="12" spans="1:8" x14ac:dyDescent="0.25">
      <c r="A12" t="s">
        <v>53</v>
      </c>
      <c r="B12" s="19">
        <f>MetaXRealizado!AD6</f>
        <v>0</v>
      </c>
      <c r="C12" s="19">
        <f ca="1">MetaXRealizado!AE6</f>
        <v>0</v>
      </c>
      <c r="F12" t="s">
        <v>53</v>
      </c>
      <c r="G12" s="19">
        <f>MetaXRealizado!AD8</f>
        <v>0</v>
      </c>
      <c r="H12" s="19">
        <f ca="1">MetaXRealizado!AE8</f>
        <v>0</v>
      </c>
    </row>
    <row r="13" spans="1:8" x14ac:dyDescent="0.25">
      <c r="A13" t="s">
        <v>54</v>
      </c>
      <c r="B13" s="19">
        <f>MetaXRealizado!AG6</f>
        <v>0</v>
      </c>
      <c r="C13" s="19">
        <f ca="1">MetaXRealizado!AH6</f>
        <v>0</v>
      </c>
      <c r="F13" t="s">
        <v>54</v>
      </c>
      <c r="G13" s="19">
        <f>MetaXRealizado!AG8</f>
        <v>0</v>
      </c>
      <c r="H13" s="19">
        <f ca="1">MetaXRealizado!AH8</f>
        <v>0</v>
      </c>
    </row>
    <row r="14" spans="1:8" x14ac:dyDescent="0.25">
      <c r="A14" t="s">
        <v>55</v>
      </c>
      <c r="B14" s="19">
        <f>MetaXRealizado!AJ6</f>
        <v>0</v>
      </c>
      <c r="C14" s="19">
        <f ca="1">MetaXRealizado!AK6</f>
        <v>0</v>
      </c>
      <c r="F14" t="s">
        <v>55</v>
      </c>
      <c r="G14" s="19">
        <f>MetaXRealizado!AJ8</f>
        <v>0</v>
      </c>
      <c r="H14" s="19">
        <f ca="1">MetaXRealizado!AK8</f>
        <v>0</v>
      </c>
    </row>
  </sheetData>
  <phoneticPr fontId="5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Cadastro Inicial</vt:lpstr>
      <vt:lpstr>Controle</vt:lpstr>
      <vt:lpstr>Metas</vt:lpstr>
      <vt:lpstr>Fluxo Caixa</vt:lpstr>
      <vt:lpstr>MetaXRealizado</vt:lpstr>
      <vt:lpstr>Dashboard</vt:lpstr>
      <vt:lpstr>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2025-02-03T16:52:51Z</dcterms:modified>
</cp:coreProperties>
</file>