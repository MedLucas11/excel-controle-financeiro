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DDC67457-487B-4EB7-8AD2-43437CE8ED1D}" xr6:coauthVersionLast="47" xr6:coauthVersionMax="47" xr10:uidLastSave="{00000000-0000-0000-0000-000000000000}"/>
  <bookViews>
    <workbookView xWindow="-120" yWindow="-120" windowWidth="20730" windowHeight="11160" xr2:uid="{E26D7D3F-C57C-4C65-8A31-A680AD967FE3}"/>
  </bookViews>
  <sheets>
    <sheet name="Cadastro Inicial" sheetId="1" r:id="rId1"/>
    <sheet name="Controle" sheetId="2" r:id="rId2"/>
    <sheet name="Metas" sheetId="4" r:id="rId3"/>
    <sheet name="Fluxo Caixa" sheetId="3" r:id="rId4"/>
    <sheet name="MetaXRealizado" sheetId="6" r:id="rId5"/>
    <sheet name="Dashboard" sheetId="5" r:id="rId6"/>
  </sheets>
  <definedNames>
    <definedName name="_xlnm._FilterDatabase" localSheetId="1" hidden="1">Controle!$A$5:$I$5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3" i="3" l="1"/>
  <c r="M13" i="3"/>
  <c r="L13" i="3"/>
  <c r="K13" i="3"/>
  <c r="J13" i="3"/>
  <c r="I13" i="3"/>
  <c r="H13" i="3"/>
  <c r="G13" i="3"/>
  <c r="F13" i="3"/>
  <c r="E13" i="3"/>
  <c r="D13" i="3"/>
  <c r="C13" i="3"/>
  <c r="N12" i="3"/>
  <c r="N14" i="3" s="1"/>
  <c r="M12" i="3"/>
  <c r="M14" i="3" s="1"/>
  <c r="L12" i="3"/>
  <c r="L14" i="3" s="1"/>
  <c r="K12" i="3"/>
  <c r="K14" i="3" s="1"/>
  <c r="J12" i="3"/>
  <c r="J14" i="3" s="1"/>
  <c r="I12" i="3"/>
  <c r="I14" i="3" s="1"/>
  <c r="H12" i="3"/>
  <c r="H14" i="3" s="1"/>
  <c r="G12" i="3"/>
  <c r="G14" i="3" s="1"/>
  <c r="F12" i="3"/>
  <c r="F14" i="3" s="1"/>
  <c r="E12" i="3"/>
  <c r="E14" i="3" s="1"/>
  <c r="D12" i="3"/>
  <c r="D14" i="3" s="1"/>
  <c r="C12" i="3"/>
  <c r="C14" i="3" s="1"/>
  <c r="O5" i="3"/>
  <c r="N7" i="3"/>
  <c r="M7" i="3"/>
  <c r="L7" i="3"/>
  <c r="K7" i="3"/>
  <c r="J7" i="3"/>
  <c r="I7" i="3"/>
  <c r="H7" i="3"/>
  <c r="G7" i="3"/>
  <c r="F7" i="3"/>
  <c r="E7" i="3"/>
  <c r="D7" i="3"/>
  <c r="C7" i="3"/>
  <c r="C6" i="3"/>
  <c r="D6" i="3"/>
  <c r="E6" i="3"/>
  <c r="F6" i="3"/>
  <c r="G6" i="3"/>
  <c r="H6" i="3"/>
  <c r="I6" i="3"/>
  <c r="J6" i="3"/>
  <c r="K6" i="3"/>
  <c r="L6" i="3"/>
  <c r="M6" i="3"/>
  <c r="N6" i="3"/>
  <c r="C5" i="3"/>
  <c r="O6" i="4"/>
  <c r="O10" i="4"/>
  <c r="O14" i="3" l="1"/>
  <c r="O13" i="3"/>
  <c r="O12" i="3"/>
  <c r="O7" i="3"/>
  <c r="O6" i="3"/>
  <c r="M8" i="3"/>
  <c r="I8" i="3"/>
  <c r="E8" i="3"/>
  <c r="K8" i="3"/>
  <c r="G8" i="3"/>
  <c r="H8" i="3"/>
  <c r="L8" i="3"/>
  <c r="D8" i="3"/>
  <c r="J8" i="3"/>
  <c r="F8" i="3"/>
  <c r="N8" i="3"/>
  <c r="C8" i="3"/>
  <c r="C9" i="3" l="1"/>
  <c r="D5" i="3" s="1"/>
  <c r="D9" i="3" s="1"/>
  <c r="E5" i="3" s="1"/>
  <c r="E9" i="3" s="1"/>
  <c r="F5" i="3" s="1"/>
  <c r="F9" i="3" s="1"/>
  <c r="G5" i="3" s="1"/>
  <c r="G9" i="3" s="1"/>
  <c r="H5" i="3" s="1"/>
  <c r="H9" i="3" s="1"/>
  <c r="I5" i="3" s="1"/>
  <c r="I9" i="3" s="1"/>
  <c r="J5" i="3" s="1"/>
  <c r="J9" i="3" s="1"/>
  <c r="K5" i="3" s="1"/>
  <c r="K9" i="3" s="1"/>
  <c r="L5" i="3" s="1"/>
  <c r="L9" i="3" s="1"/>
  <c r="M5" i="3" s="1"/>
  <c r="M9" i="3" s="1"/>
  <c r="N5" i="3" s="1"/>
  <c r="N9" i="3" s="1"/>
  <c r="O9" i="3" s="1"/>
  <c r="O8" i="3"/>
</calcChain>
</file>

<file path=xl/sharedStrings.xml><?xml version="1.0" encoding="utf-8"?>
<sst xmlns="http://schemas.openxmlformats.org/spreadsheetml/2006/main" count="67" uniqueCount="44">
  <si>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</si>
  <si>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</si>
  <si>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</si>
  <si>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</si>
  <si>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</si>
  <si>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</si>
  <si>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</si>
  <si>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</si>
  <si>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</si>
  <si>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</si>
  <si>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</si>
  <si>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</si>
  <si>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</si>
  <si>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</si>
  <si>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</si>
  <si>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</si>
  <si>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</si>
  <si>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</si>
  <si>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</si>
  <si>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</si>
  <si>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</si>
  <si>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</si>
  <si>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</si>
  <si>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</si>
  <si>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</si>
  <si>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</si>
  <si>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</si>
  <si>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</si>
  <si>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</si>
  <si>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</si>
  <si>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</si>
  <si>
    <t>Fluxo de Caixa</t>
  </si>
  <si>
    <t>Receita</t>
  </si>
  <si>
    <t>Despesa</t>
  </si>
  <si>
    <t>Saldo do Mês</t>
  </si>
  <si>
    <t>A Receber</t>
  </si>
  <si>
    <t>A Pagar</t>
  </si>
  <si>
    <t>Saldo de Contas</t>
  </si>
  <si>
    <t>Salário</t>
  </si>
  <si>
    <t>Bônus</t>
  </si>
  <si>
    <t>Aluguel</t>
  </si>
  <si>
    <t>Pix</t>
  </si>
  <si>
    <t>Itaú</t>
  </si>
  <si>
    <t>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</si>
</sst>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75623"/>
      <name val="Calibri"/>
      <family val="2"/>
      <scheme val="minor"/>
    </font>
    <font>
      <sz val="11"/>
      <color rgb="FFCC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center" vertical="center"/>
    </xf>
    <xf numFmtId="164" fontId="4" fillId="5" borderId="0" xfId="0" applyNumberFormat="1" applyFont="1" applyFill="1" applyAlignment="1">
      <alignment horizontal="center" vertical="center"/>
    </xf>
    <xf numFmtId="10" fontId="4" fillId="5" borderId="0" xfId="0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/>
    <xf numFmtId="0" fontId="8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/>
    <xf numFmtId="10" fontId="0" fillId="0" borderId="1" xfId="0" applyNumberFormat="1" applyBorder="1" applyAlignment="1">
      <alignment horizontal="center"/>
    </xf>
    <xf numFmtId="0" fontId="9" fillId="12" borderId="1" xfId="0" applyFont="1" applyFill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7" fontId="0" fillId="5" borderId="0" xfId="0" applyNumberForma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9523</xdr:rowOff>
    </xdr:from>
    <xdr:to>
      <xdr:col>1</xdr:col>
      <xdr:colOff>504826</xdr:colOff>
      <xdr:row>7</xdr:row>
      <xdr:rowOff>142874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7634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114301</xdr:colOff>
      <xdr:row>2</xdr:row>
      <xdr:rowOff>0</xdr:rowOff>
    </xdr:from>
    <xdr:to>
      <xdr:col>1</xdr:col>
      <xdr:colOff>514350</xdr:colOff>
      <xdr:row>4</xdr:row>
      <xdr:rowOff>38100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14301" y="581025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609600</xdr:colOff>
      <xdr:row>1</xdr:row>
      <xdr:rowOff>38101</xdr:rowOff>
    </xdr:from>
    <xdr:to>
      <xdr:col>1</xdr:col>
      <xdr:colOff>733425</xdr:colOff>
      <xdr:row>11</xdr:row>
      <xdr:rowOff>152401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7C2E191-CA4E-4D2B-96D4-3711BED15E1A}"/>
            </a:ext>
          </a:extLst>
        </xdr:cNvPr>
        <xdr:cNvSpPr/>
      </xdr:nvSpPr>
      <xdr:spPr>
        <a:xfrm>
          <a:off x="1857375" y="428626"/>
          <a:ext cx="123825" cy="21336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19050</xdr:colOff>
      <xdr:row>11</xdr:row>
      <xdr:rowOff>104775</xdr:rowOff>
    </xdr:from>
    <xdr:to>
      <xdr:col>1</xdr:col>
      <xdr:colOff>733424</xdr:colOff>
      <xdr:row>12</xdr:row>
      <xdr:rowOff>9526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FD0B7D-50C3-A2B5-80ED-342CD6256ED6}"/>
            </a:ext>
          </a:extLst>
        </xdr:cNvPr>
        <xdr:cNvSpPr/>
      </xdr:nvSpPr>
      <xdr:spPr>
        <a:xfrm>
          <a:off x="19050" y="2514600"/>
          <a:ext cx="1962149" cy="95251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133350</xdr:colOff>
      <xdr:row>13</xdr:row>
      <xdr:rowOff>114299</xdr:rowOff>
    </xdr:from>
    <xdr:to>
      <xdr:col>1</xdr:col>
      <xdr:colOff>523875</xdr:colOff>
      <xdr:row>16</xdr:row>
      <xdr:rowOff>66674</xdr:rowOff>
    </xdr:to>
    <xdr:sp macro="[0]!NavegarControl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3CB98B1-FE33-47C3-89DD-D3594C6DB5DD}"/>
            </a:ext>
          </a:extLst>
        </xdr:cNvPr>
        <xdr:cNvSpPr/>
      </xdr:nvSpPr>
      <xdr:spPr>
        <a:xfrm>
          <a:off x="133350" y="2905124"/>
          <a:ext cx="1638300" cy="5238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Controle</a:t>
          </a:r>
          <a:r>
            <a:rPr lang="pt-BR" sz="1200" b="1" kern="1200" baseline="0">
              <a:solidFill>
                <a:sysClr val="windowText" lastClr="000000"/>
              </a:solidFill>
            </a:rPr>
            <a:t> de Transações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342900</xdr:colOff>
      <xdr:row>1</xdr:row>
      <xdr:rowOff>66675</xdr:rowOff>
    </xdr:from>
    <xdr:to>
      <xdr:col>3</xdr:col>
      <xdr:colOff>1114425</xdr:colOff>
      <xdr:row>2</xdr:row>
      <xdr:rowOff>152400</xdr:rowOff>
    </xdr:to>
    <xdr:sp macro="[0]!Navegar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D2DA60-E173-428B-8B30-B0C3A7CF1EDE}"/>
            </a:ext>
          </a:extLst>
        </xdr:cNvPr>
        <xdr:cNvSpPr/>
      </xdr:nvSpPr>
      <xdr:spPr>
        <a:xfrm>
          <a:off x="2838450" y="257175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276224</xdr:colOff>
      <xdr:row>0</xdr:row>
      <xdr:rowOff>0</xdr:rowOff>
    </xdr:from>
    <xdr:to>
      <xdr:col>2</xdr:col>
      <xdr:colOff>1171575</xdr:colOff>
      <xdr:row>1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E527035-1059-8E36-9CD5-1BB55B361A37}"/>
            </a:ext>
          </a:extLst>
        </xdr:cNvPr>
        <xdr:cNvSpPr txBox="1"/>
      </xdr:nvSpPr>
      <xdr:spPr>
        <a:xfrm>
          <a:off x="2771774" y="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P8"/>
  <sheetViews>
    <sheetView showGridLines="0" tabSelected="1" workbookViewId="0">
      <selection activeCell="D11" sqref="D11"/>
    </sheetView>
  </sheetViews>
  <sheetFormatPr defaultRowHeight="15" x14ac:dyDescent="0.25"/>
  <cols>
    <col min="1" max="1" width="18.7109375" customWidth="1"/>
    <col min="2" max="2" width="15.7109375" customWidth="1"/>
    <col min="3" max="3" width="9" bestFit="1" customWidth="1"/>
    <col min="4" max="4" width="11.7109375" customWidth="1"/>
    <col min="5" max="5" width="11.85546875" customWidth="1"/>
    <col min="6" max="6" width="9.710937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</cols>
  <sheetData>
    <row r="1" spans="1:16" ht="30.75" customHeight="1" x14ac:dyDescent="0.25">
      <c r="A1" s="2" t="s">
        <v>5</v>
      </c>
      <c r="B1" s="3">
        <v>2026</v>
      </c>
      <c r="L1" s="4"/>
    </row>
    <row r="2" spans="1:16" x14ac:dyDescent="0.25">
      <c r="L2" s="4"/>
    </row>
    <row r="3" spans="1:16" ht="24" customHeight="1" x14ac:dyDescent="0.25">
      <c r="C3" s="5" t="s">
        <v>0</v>
      </c>
      <c r="D3" s="5" t="s">
        <v>1</v>
      </c>
      <c r="E3" s="1"/>
      <c r="F3" s="5" t="s">
        <v>2</v>
      </c>
      <c r="G3" s="5" t="s">
        <v>1</v>
      </c>
      <c r="H3" s="1"/>
      <c r="I3" s="5" t="s">
        <v>3</v>
      </c>
      <c r="J3" s="1"/>
      <c r="K3" s="5" t="s">
        <v>4</v>
      </c>
      <c r="L3" s="6" t="s">
        <v>6</v>
      </c>
    </row>
    <row r="4" spans="1:16" x14ac:dyDescent="0.25">
      <c r="C4" s="24" t="s">
        <v>38</v>
      </c>
      <c r="D4" s="25" t="s">
        <v>32</v>
      </c>
      <c r="F4" s="24" t="s">
        <v>40</v>
      </c>
      <c r="G4" s="29" t="s">
        <v>33</v>
      </c>
      <c r="I4" s="26" t="s">
        <v>41</v>
      </c>
      <c r="K4" s="24" t="s">
        <v>42</v>
      </c>
      <c r="L4" s="30">
        <v>5000</v>
      </c>
    </row>
    <row r="5" spans="1:16" x14ac:dyDescent="0.25">
      <c r="C5" s="24" t="s">
        <v>39</v>
      </c>
      <c r="D5" s="25" t="s">
        <v>32</v>
      </c>
    </row>
    <row r="8" spans="1:16" x14ac:dyDescent="0.25">
      <c r="B8" s="12"/>
      <c r="M8" s="20"/>
      <c r="N8" s="20"/>
      <c r="O8" s="20"/>
      <c r="P8" s="21"/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13"/>
  <sheetViews>
    <sheetView showGridLines="0" zoomScaleNormal="100" workbookViewId="0">
      <selection activeCell="A5" sqref="A5:I5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7"/>
    </row>
    <row r="2" spans="1:9" ht="32.25" customHeight="1" x14ac:dyDescent="0.25">
      <c r="A2" s="7"/>
    </row>
    <row r="3" spans="1:9" x14ac:dyDescent="0.25">
      <c r="A3" s="7"/>
    </row>
    <row r="4" spans="1:9" x14ac:dyDescent="0.25">
      <c r="A4" s="7"/>
    </row>
    <row r="5" spans="1:9" ht="32.25" customHeight="1" x14ac:dyDescent="0.25">
      <c r="A5" s="8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  <row r="6" spans="1:9" x14ac:dyDescent="0.25">
      <c r="A6" s="41"/>
      <c r="B6" s="42"/>
      <c r="C6" s="43"/>
      <c r="D6" s="44"/>
      <c r="E6" s="45"/>
      <c r="F6" s="43"/>
      <c r="G6" s="43"/>
      <c r="H6" s="42"/>
      <c r="I6" s="44"/>
    </row>
    <row r="7" spans="1:9" x14ac:dyDescent="0.25">
      <c r="A7" s="41"/>
      <c r="B7" s="42"/>
      <c r="C7" s="43"/>
      <c r="D7" s="46"/>
      <c r="E7" s="45"/>
      <c r="F7" s="43"/>
      <c r="G7" s="43"/>
      <c r="H7" s="42"/>
      <c r="I7" s="44"/>
    </row>
    <row r="8" spans="1:9" x14ac:dyDescent="0.25">
      <c r="A8" s="41"/>
      <c r="B8" s="42"/>
      <c r="C8" s="43"/>
      <c r="D8" s="44"/>
      <c r="E8" s="45"/>
      <c r="F8" s="43"/>
      <c r="G8" s="43"/>
      <c r="H8" s="42"/>
      <c r="I8" s="44"/>
    </row>
    <row r="9" spans="1:9" x14ac:dyDescent="0.25">
      <c r="A9" s="41"/>
      <c r="B9" s="42"/>
      <c r="C9" s="43"/>
      <c r="D9" s="44"/>
      <c r="E9" s="45"/>
      <c r="F9" s="43"/>
      <c r="G9" s="43"/>
      <c r="H9" s="42"/>
      <c r="I9" s="44"/>
    </row>
    <row r="10" spans="1:9" x14ac:dyDescent="0.25">
      <c r="A10" s="41"/>
      <c r="B10" s="42"/>
      <c r="C10" s="43"/>
      <c r="D10" s="44"/>
      <c r="E10" s="45"/>
      <c r="F10" s="43"/>
      <c r="G10" s="43"/>
      <c r="H10" s="42"/>
      <c r="I10" s="44"/>
    </row>
    <row r="11" spans="1:9" x14ac:dyDescent="0.25">
      <c r="A11" s="41"/>
      <c r="B11" s="42"/>
      <c r="C11" s="43"/>
      <c r="D11" s="44"/>
      <c r="E11" s="45"/>
      <c r="F11" s="43"/>
      <c r="G11" s="43"/>
      <c r="H11" s="42"/>
      <c r="I11" s="44"/>
    </row>
    <row r="12" spans="1:9" x14ac:dyDescent="0.25">
      <c r="A12" s="41"/>
      <c r="B12" s="42"/>
      <c r="C12" s="43"/>
      <c r="D12" s="44"/>
      <c r="E12" s="45"/>
      <c r="F12" s="43"/>
      <c r="G12" s="43"/>
      <c r="H12" s="42"/>
      <c r="I12" s="44"/>
    </row>
    <row r="13" spans="1:9" x14ac:dyDescent="0.25">
      <c r="A13" s="41"/>
      <c r="B13" s="42"/>
      <c r="C13" s="43"/>
      <c r="D13" s="46"/>
      <c r="E13" s="45"/>
      <c r="F13" s="43"/>
      <c r="G13" s="43"/>
      <c r="H13" s="42"/>
      <c r="I13" s="44"/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28"/>
  <sheetViews>
    <sheetView showGridLines="0" zoomScale="86" zoomScaleNormal="86" workbookViewId="0">
      <selection activeCell="C6" sqref="C6"/>
    </sheetView>
  </sheetViews>
  <sheetFormatPr defaultRowHeight="15" x14ac:dyDescent="0.25"/>
  <cols>
    <col min="1" max="1" width="3.42578125" customWidth="1"/>
    <col min="2" max="2" width="17.7109375" bestFit="1" customWidth="1"/>
    <col min="3" max="15" width="13.7109375" style="4" customWidth="1"/>
    <col min="16" max="16" width="11.140625" style="22" customWidth="1"/>
  </cols>
  <sheetData>
    <row r="2" spans="2:16" x14ac:dyDescent="0.25">
      <c r="B2" s="14"/>
    </row>
    <row r="4" spans="2:16" ht="13.5" customHeight="1" x14ac:dyDescent="0.25"/>
    <row r="5" spans="2:16" ht="25.5" customHeight="1" x14ac:dyDescent="0.25">
      <c r="B5" s="9" t="s">
        <v>9</v>
      </c>
      <c r="C5" s="9" t="s">
        <v>15</v>
      </c>
      <c r="D5" s="9" t="s">
        <v>16</v>
      </c>
      <c r="E5" s="9" t="s">
        <v>17</v>
      </c>
      <c r="F5" s="9" t="s">
        <v>18</v>
      </c>
      <c r="G5" s="9" t="s">
        <v>19</v>
      </c>
      <c r="H5" s="9" t="s">
        <v>20</v>
      </c>
      <c r="I5" s="9" t="s">
        <v>21</v>
      </c>
      <c r="J5" s="9" t="s">
        <v>22</v>
      </c>
      <c r="K5" s="9" t="s">
        <v>23</v>
      </c>
      <c r="L5" s="9" t="s">
        <v>24</v>
      </c>
      <c r="M5" s="9" t="s">
        <v>25</v>
      </c>
      <c r="N5" s="9" t="s">
        <v>26</v>
      </c>
      <c r="O5" s="9" t="s">
        <v>28</v>
      </c>
      <c r="P5" s="17" t="s">
        <v>29</v>
      </c>
    </row>
    <row r="6" spans="2:16" ht="26.25" customHeight="1" x14ac:dyDescent="0.25">
      <c r="B6" s="11" t="s">
        <v>27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>
        <f>SUM(C6:N6)</f>
        <v>0</v>
      </c>
      <c r="P6" s="18">
        <v>0</v>
      </c>
    </row>
    <row r="7" spans="2:16" x14ac:dyDescent="0.25">
      <c r="B7" s="26" t="s">
        <v>38</v>
      </c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8"/>
    </row>
    <row r="8" spans="2:16" x14ac:dyDescent="0.25">
      <c r="B8" s="26" t="s">
        <v>39</v>
      </c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2:16" ht="15" customHeight="1" x14ac:dyDescent="0.25"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2:16" ht="26.25" customHeight="1" x14ac:dyDescent="0.25">
      <c r="B10" s="10" t="s">
        <v>30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>
        <f>SUM(C10:N10)</f>
        <v>0</v>
      </c>
      <c r="P10" s="19">
        <v>0</v>
      </c>
    </row>
    <row r="11" spans="2:16" x14ac:dyDescent="0.25">
      <c r="B11" s="26" t="s">
        <v>40</v>
      </c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8"/>
    </row>
    <row r="12" spans="2:16" ht="15" customHeight="1" x14ac:dyDescent="0.25"/>
    <row r="14" spans="2:16" ht="15" customHeight="1" x14ac:dyDescent="0.25"/>
    <row r="15" spans="2:16" ht="15" customHeight="1" x14ac:dyDescent="0.25"/>
    <row r="57" spans="2:2" x14ac:dyDescent="0.25">
      <c r="B57" s="12"/>
    </row>
    <row r="58" spans="2:2" x14ac:dyDescent="0.25">
      <c r="B58" s="12"/>
    </row>
    <row r="59" spans="2:2" x14ac:dyDescent="0.25">
      <c r="B59" s="12"/>
    </row>
    <row r="60" spans="2:2" x14ac:dyDescent="0.25">
      <c r="B60" s="12"/>
    </row>
    <row r="61" spans="2:2" x14ac:dyDescent="0.25">
      <c r="B61" s="12"/>
    </row>
    <row r="62" spans="2:2" x14ac:dyDescent="0.25">
      <c r="B62" s="12"/>
    </row>
    <row r="63" spans="2:2" x14ac:dyDescent="0.25">
      <c r="B63" s="12"/>
    </row>
    <row r="64" spans="2:2" x14ac:dyDescent="0.25">
      <c r="B64" s="12"/>
    </row>
    <row r="65" spans="2:2" x14ac:dyDescent="0.25">
      <c r="B65" s="12"/>
    </row>
    <row r="80" spans="2:2" x14ac:dyDescent="0.25">
      <c r="B80" s="12"/>
    </row>
    <row r="81" spans="2:2" x14ac:dyDescent="0.25">
      <c r="B81" s="12"/>
    </row>
    <row r="82" spans="2:2" x14ac:dyDescent="0.25">
      <c r="B82" s="12"/>
    </row>
    <row r="83" spans="2:2" x14ac:dyDescent="0.25">
      <c r="B83" s="12"/>
    </row>
    <row r="84" spans="2:2" x14ac:dyDescent="0.25">
      <c r="B84" s="12"/>
    </row>
    <row r="85" spans="2:2" x14ac:dyDescent="0.25">
      <c r="B85" s="12"/>
    </row>
    <row r="86" spans="2:2" x14ac:dyDescent="0.25">
      <c r="B86" s="12"/>
    </row>
    <row r="87" spans="2:2" x14ac:dyDescent="0.25">
      <c r="B87" s="12"/>
    </row>
    <row r="88" spans="2:2" x14ac:dyDescent="0.25">
      <c r="B88" s="12"/>
    </row>
    <row r="89" spans="2:2" x14ac:dyDescent="0.25">
      <c r="B89" s="12"/>
    </row>
    <row r="90" spans="2:2" x14ac:dyDescent="0.25">
      <c r="B90" s="12"/>
    </row>
    <row r="91" spans="2:2" x14ac:dyDescent="0.25">
      <c r="B91" s="12"/>
    </row>
    <row r="92" spans="2:2" x14ac:dyDescent="0.25">
      <c r="B92" s="12"/>
    </row>
    <row r="93" spans="2:2" x14ac:dyDescent="0.25">
      <c r="B93" s="12"/>
    </row>
    <row r="111" spans="2:2" x14ac:dyDescent="0.25">
      <c r="B111" s="12"/>
    </row>
    <row r="112" spans="2:2" x14ac:dyDescent="0.25">
      <c r="B112" s="12"/>
    </row>
    <row r="114" spans="2:2" x14ac:dyDescent="0.25">
      <c r="B114" s="12"/>
    </row>
    <row r="115" spans="2:2" x14ac:dyDescent="0.25">
      <c r="B115" s="12"/>
    </row>
    <row r="116" spans="2:2" x14ac:dyDescent="0.25">
      <c r="B116" s="12"/>
    </row>
    <row r="117" spans="2:2" x14ac:dyDescent="0.25">
      <c r="B117" s="12"/>
    </row>
    <row r="118" spans="2:2" x14ac:dyDescent="0.25">
      <c r="B118" s="12"/>
    </row>
    <row r="119" spans="2:2" x14ac:dyDescent="0.25">
      <c r="B119" s="12"/>
    </row>
    <row r="120" spans="2:2" x14ac:dyDescent="0.25">
      <c r="B120" s="12"/>
    </row>
    <row r="121" spans="2:2" x14ac:dyDescent="0.25">
      <c r="B121" s="13"/>
    </row>
    <row r="122" spans="2:2" x14ac:dyDescent="0.25">
      <c r="B122" s="12"/>
    </row>
    <row r="123" spans="2:2" x14ac:dyDescent="0.25">
      <c r="B123" s="12"/>
    </row>
    <row r="124" spans="2:2" x14ac:dyDescent="0.25">
      <c r="B124" s="12"/>
    </row>
    <row r="125" spans="2:2" x14ac:dyDescent="0.25">
      <c r="B125" s="12"/>
    </row>
    <row r="126" spans="2:2" x14ac:dyDescent="0.25">
      <c r="B126" s="12"/>
    </row>
    <row r="127" spans="2:2" x14ac:dyDescent="0.25">
      <c r="B127" s="12"/>
    </row>
    <row r="128" spans="2:2" x14ac:dyDescent="0.25">
      <c r="B128" s="12"/>
    </row>
  </sheetData>
  <phoneticPr fontId="5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B4:O14"/>
  <sheetViews>
    <sheetView showGridLines="0" zoomScale="87" zoomScaleNormal="87" workbookViewId="0">
      <selection activeCell="L23" sqref="L23"/>
    </sheetView>
  </sheetViews>
  <sheetFormatPr defaultRowHeight="15" x14ac:dyDescent="0.25"/>
  <cols>
    <col min="1" max="1" width="3.5703125" customWidth="1"/>
    <col min="2" max="2" width="15.85546875" customWidth="1"/>
    <col min="3" max="15" width="13.7109375" customWidth="1"/>
  </cols>
  <sheetData>
    <row r="4" spans="2:15" ht="30.75" customHeight="1" x14ac:dyDescent="0.25">
      <c r="B4" s="39" t="s">
        <v>31</v>
      </c>
      <c r="C4" s="40" t="s">
        <v>15</v>
      </c>
      <c r="D4" s="39" t="s">
        <v>16</v>
      </c>
      <c r="E4" s="39" t="s">
        <v>17</v>
      </c>
      <c r="F4" s="39" t="s">
        <v>18</v>
      </c>
      <c r="G4" s="39" t="s">
        <v>19</v>
      </c>
      <c r="H4" s="39" t="s">
        <v>20</v>
      </c>
      <c r="I4" s="39" t="s">
        <v>21</v>
      </c>
      <c r="J4" s="39" t="s">
        <v>22</v>
      </c>
      <c r="K4" s="39" t="s">
        <v>23</v>
      </c>
      <c r="L4" s="39" t="s">
        <v>24</v>
      </c>
      <c r="M4" s="39" t="s">
        <v>25</v>
      </c>
      <c r="N4" s="39" t="s">
        <v>26</v>
      </c>
      <c r="O4" s="39" t="s">
        <v>28</v>
      </c>
    </row>
    <row r="5" spans="2:15" ht="20.100000000000001" customHeight="1" x14ac:dyDescent="0.25">
      <c r="B5" s="32" t="s">
        <v>6</v>
      </c>
      <c r="C5" s="31">
        <f>SUM('Cadastro Inicial'!L:L)</f>
        <v>5000</v>
      </c>
      <c r="D5" s="31">
        <f ca="1">C9</f>
        <v>5000</v>
      </c>
      <c r="E5" s="31">
        <f t="shared" ref="E5:N5" ca="1" si="0">D9</f>
        <v>5000</v>
      </c>
      <c r="F5" s="31">
        <f t="shared" ca="1" si="0"/>
        <v>5000</v>
      </c>
      <c r="G5" s="31">
        <f t="shared" ca="1" si="0"/>
        <v>5000</v>
      </c>
      <c r="H5" s="31">
        <f t="shared" ca="1" si="0"/>
        <v>5000</v>
      </c>
      <c r="I5" s="31">
        <f t="shared" ca="1" si="0"/>
        <v>5000</v>
      </c>
      <c r="J5" s="31">
        <f t="shared" ca="1" si="0"/>
        <v>5000</v>
      </c>
      <c r="K5" s="31">
        <f t="shared" ca="1" si="0"/>
        <v>5000</v>
      </c>
      <c r="L5" s="31">
        <f t="shared" ca="1" si="0"/>
        <v>5000</v>
      </c>
      <c r="M5" s="31">
        <f t="shared" ca="1" si="0"/>
        <v>5000</v>
      </c>
      <c r="N5" s="31">
        <f t="shared" ca="1" si="0"/>
        <v>5000</v>
      </c>
      <c r="O5" s="47">
        <f>C5</f>
        <v>5000</v>
      </c>
    </row>
    <row r="6" spans="2:15" ht="20.100000000000001" customHeight="1" x14ac:dyDescent="0.25">
      <c r="B6" s="33" t="s">
        <v>32</v>
      </c>
      <c r="C6" s="31">
        <f ca="1">SUMIFS(Controle!$E:$E,Controle!$A:$A,"&gt;=" &amp;DATE(YEAR(NOW()),1,1),Controle!$A:$A,"&lt;"&amp;DATE(YEAR(NOW()),2,1),Controle!$I:$I,"Pago",Controle!$D:$D,"Receita")</f>
        <v>0</v>
      </c>
      <c r="D6" s="31">
        <f ca="1">SUMIFS(Controle!$E:$E,Controle!$A:$A,"&gt;=" &amp;DATE(YEAR(NOW()),2,1),Controle!$A:$A,"&lt;"&amp;DATE(YEAR(NOW()),3,1),Controle!$I:$I,"Pago",Controle!$D:$D,"Receita")</f>
        <v>0</v>
      </c>
      <c r="E6" s="31">
        <f ca="1">SUMIFS(Controle!$E:$E,Controle!$A:$A,"&gt;=" &amp;DATE(YEAR(NOW()),3,1),Controle!$A:$A,"&lt;"&amp;DATE(YEAR(NOW()),4,1),Controle!$I:$I,"Pago",Controle!$D:$D,"Receita")</f>
        <v>0</v>
      </c>
      <c r="F6" s="31">
        <f ca="1">SUMIFS(Controle!$E:$E,Controle!$A:$A,"&gt;=" &amp;DATE(YEAR(NOW()),4,1),Controle!$A:$A,"&lt;"&amp;DATE(YEAR(NOW()),5,1),Controle!$I:$I,"Pago",Controle!$D:$D,"Receita")</f>
        <v>0</v>
      </c>
      <c r="G6" s="31">
        <f ca="1">SUMIFS(Controle!$E:$E,Controle!$A:$A,"&gt;=" &amp;DATE(YEAR(NOW()),5,1),Controle!$A:$A,"&lt;"&amp;DATE(YEAR(NOW()),6,1),Controle!$I:$I,"Pago",Controle!$D:$D,"Receita")</f>
        <v>0</v>
      </c>
      <c r="H6" s="31">
        <f ca="1">SUMIFS(Controle!$E:$E,Controle!$A:$A,"&gt;=" &amp;DATE(YEAR(NOW()),6,1),Controle!$A:$A,"&lt;"&amp;DATE(YEAR(NOW()),7,1),Controle!$I:$I,"Pago",Controle!$D:$D,"Receita")</f>
        <v>0</v>
      </c>
      <c r="I6" s="31">
        <f ca="1">SUMIFS(Controle!$E:$E,Controle!$A:$A,"&gt;=" &amp;DATE(YEAR(NOW()),7,1),Controle!$A:$A,"&lt;"&amp;DATE(YEAR(NOW()),8,1),Controle!$I:$I,"Pago",Controle!$D:$D,"Receita")</f>
        <v>0</v>
      </c>
      <c r="J6" s="31">
        <f ca="1">SUMIFS(Controle!$E:$E,Controle!$A:$A,"&gt;=" &amp;DATE(YEAR(NOW()),8,1),Controle!$A:$A,"&lt;"&amp;DATE(YEAR(NOW()),9,1),Controle!$I:$I,"Pago",Controle!$D:$D,"Receita")</f>
        <v>0</v>
      </c>
      <c r="K6" s="31">
        <f ca="1">SUMIFS(Controle!$E:$E,Controle!$A:$A,"&gt;=" &amp;DATE(YEAR(NOW()),9,1),Controle!$A:$A,"&lt;"&amp;DATE(YEAR(NOW()),10,1),Controle!$I:$I,"Pago",Controle!$D:$D,"Receita")</f>
        <v>0</v>
      </c>
      <c r="L6" s="31">
        <f ca="1">SUMIFS(Controle!$E:$E,Controle!$A:$A,"&gt;=" &amp;DATE(YEAR(NOW()),10,1),Controle!$A:$A,"&lt;"&amp;DATE(YEAR(NOW()),11,1),Controle!$I:$I,"Pago",Controle!$D:$D,"Receita")</f>
        <v>0</v>
      </c>
      <c r="M6" s="31">
        <f ca="1">SUMIFS(Controle!$E:$E,Controle!$A:$A,"&gt;=" &amp;DATE(YEAR(NOW()),11,1),Controle!$A:$A,"&lt;"&amp;DATE(YEAR(NOW()),12,1),Controle!$I:$I,"Pago",Controle!$D:$D,"Receita")</f>
        <v>0</v>
      </c>
      <c r="N6" s="31">
        <f ca="1">SUMIFS(Controle!$E:$E,Controle!$A:$A,"&gt;=" &amp;DATE(YEAR(NOW()),12,1),Controle!$A:$A,"&lt;"&amp;DATE(YEAR(NOW()),1,1),Controle!$I:$I,"Pago",Controle!$D:$D,"Receita")</f>
        <v>0</v>
      </c>
      <c r="O6" s="48">
        <f ca="1">SUM(C6:N6)</f>
        <v>0</v>
      </c>
    </row>
    <row r="7" spans="2:15" ht="20.100000000000001" customHeight="1" x14ac:dyDescent="0.25">
      <c r="B7" s="34" t="s">
        <v>33</v>
      </c>
      <c r="C7" s="31">
        <f ca="1">SUMIFS(Controle!$E:$E,Controle!$A:$A,"&gt;=" &amp;DATE(YEAR(NOW()),1,1),Controle!$A:$A,"&lt;"&amp;DATE(YEAR(NOW()),2,1),Controle!$I:$I,"Pago",Controle!$D:$D,"Despesa")</f>
        <v>0</v>
      </c>
      <c r="D7" s="31">
        <f ca="1">SUMIFS(Controle!$E:$E,Controle!$A:$A,"&gt;=" &amp;DATE(YEAR(NOW()),2,1),Controle!$A:$A,"&lt;"&amp;DATE(YEAR(NOW()),3,1),Controle!$I:$I,"Pago",Controle!$D:$D,"Despesa")</f>
        <v>0</v>
      </c>
      <c r="E7" s="31">
        <f ca="1">SUMIFS(Controle!$E:$E,Controle!$A:$A,"&gt;=" &amp;DATE(YEAR(NOW()),3,1),Controle!$A:$A,"&lt;"&amp;DATE(YEAR(NOW()),4,1),Controle!$I:$I,"Pago",Controle!$D:$D,"Despesa")</f>
        <v>0</v>
      </c>
      <c r="F7" s="31">
        <f ca="1">SUMIFS(Controle!$E:$E,Controle!$A:$A,"&gt;=" &amp;DATE(YEAR(NOW()),4,1),Controle!$A:$A,"&lt;"&amp;DATE(YEAR(NOW()),5,1),Controle!$I:$I,"Pago",Controle!$D:$D,"Despesa")</f>
        <v>0</v>
      </c>
      <c r="G7" s="31">
        <f ca="1">SUMIFS(Controle!$E:$E,Controle!$A:$A,"&gt;=" &amp;DATE(YEAR(NOW()),5,1),Controle!$A:$A,"&lt;"&amp;DATE(YEAR(NOW()),6,1),Controle!$I:$I,"Pago",Controle!$D:$D,"Despesa")</f>
        <v>0</v>
      </c>
      <c r="H7" s="31">
        <f ca="1">SUMIFS(Controle!$E:$E,Controle!$A:$A,"&gt;=" &amp;DATE(YEAR(NOW()),6,1),Controle!$A:$A,"&lt;"&amp;DATE(YEAR(NOW()),7,1),Controle!$I:$I,"Pago",Controle!$D:$D,"Despesa")</f>
        <v>0</v>
      </c>
      <c r="I7" s="31">
        <f ca="1">SUMIFS(Controle!$E:$E,Controle!$A:$A,"&gt;=" &amp;DATE(YEAR(NOW()),7,1),Controle!$A:$A,"&lt;"&amp;DATE(YEAR(NOW()),8,1),Controle!$I:$I,"Pago",Controle!$D:$D,"Despesa")</f>
        <v>0</v>
      </c>
      <c r="J7" s="31">
        <f ca="1">SUMIFS(Controle!$E:$E,Controle!$A:$A,"&gt;=" &amp;DATE(YEAR(NOW()),8,1),Controle!$A:$A,"&lt;"&amp;DATE(YEAR(NOW()),9,1),Controle!$I:$I,"Pago",Controle!$D:$D,"Despesa")</f>
        <v>0</v>
      </c>
      <c r="K7" s="31">
        <f ca="1">SUMIFS(Controle!$E:$E,Controle!$A:$A,"&gt;=" &amp;DATE(YEAR(NOW()),9,1),Controle!$A:$A,"&lt;"&amp;DATE(YEAR(NOW()),10,1),Controle!$I:$I,"Pago",Controle!$D:$D,"Despesa")</f>
        <v>0</v>
      </c>
      <c r="L7" s="31">
        <f ca="1">SUMIFS(Controle!$E:$E,Controle!$A:$A,"&gt;=" &amp;DATE(YEAR(NOW()),10,1),Controle!$A:$A,"&lt;"&amp;DATE(YEAR(NOW()),11,1),Controle!$I:$I,"Pago",Controle!$D:$D,"Despesa")</f>
        <v>0</v>
      </c>
      <c r="M7" s="31">
        <f ca="1">SUMIFS(Controle!$E:$E,Controle!$A:$A,"&gt;=" &amp;DATE(YEAR(NOW()),11,1),Controle!$A:$A,"&lt;"&amp;DATE(YEAR(NOW()),12,1),Controle!$I:$I,"Pago",Controle!$D:$D,"Despesa")</f>
        <v>0</v>
      </c>
      <c r="N7" s="31">
        <f ca="1">SUMIFS(Controle!$E:$E,Controle!$A:$A,"&gt;=" &amp;DATE(YEAR(NOW()),12,1),Controle!$A:$A,"&lt;"&amp;DATE(YEAR(NOW()),1,1),Controle!$I:$I,"Pago",Controle!$D:$D,"Despesa")</f>
        <v>0</v>
      </c>
      <c r="O7" s="49">
        <f ca="1">SUM(C7:N7)</f>
        <v>0</v>
      </c>
    </row>
    <row r="8" spans="2:15" ht="20.100000000000001" customHeight="1" x14ac:dyDescent="0.25">
      <c r="B8" s="35" t="s">
        <v>34</v>
      </c>
      <c r="C8" s="31">
        <f ca="1" xml:space="preserve"> C6 - C7</f>
        <v>0</v>
      </c>
      <c r="D8" s="31">
        <f t="shared" ref="D8:N8" ca="1" si="1" xml:space="preserve"> D6 - D7</f>
        <v>0</v>
      </c>
      <c r="E8" s="31">
        <f t="shared" ca="1" si="1"/>
        <v>0</v>
      </c>
      <c r="F8" s="31">
        <f t="shared" ca="1" si="1"/>
        <v>0</v>
      </c>
      <c r="G8" s="31">
        <f t="shared" ca="1" si="1"/>
        <v>0</v>
      </c>
      <c r="H8" s="31">
        <f t="shared" ca="1" si="1"/>
        <v>0</v>
      </c>
      <c r="I8" s="31">
        <f t="shared" ca="1" si="1"/>
        <v>0</v>
      </c>
      <c r="J8" s="31">
        <f t="shared" ca="1" si="1"/>
        <v>0</v>
      </c>
      <c r="K8" s="31">
        <f t="shared" ca="1" si="1"/>
        <v>0</v>
      </c>
      <c r="L8" s="31">
        <f t="shared" ca="1" si="1"/>
        <v>0</v>
      </c>
      <c r="M8" s="31">
        <f t="shared" ca="1" si="1"/>
        <v>0</v>
      </c>
      <c r="N8" s="31">
        <f t="shared" ca="1" si="1"/>
        <v>0</v>
      </c>
      <c r="O8" s="50">
        <f ca="1">SUM(C8:N8)</f>
        <v>0</v>
      </c>
    </row>
    <row r="9" spans="2:15" s="14" customFormat="1" ht="20.100000000000001" customHeight="1" x14ac:dyDescent="0.25">
      <c r="B9" s="35" t="s">
        <v>43</v>
      </c>
      <c r="C9" s="31">
        <f ca="1">C5 + C8</f>
        <v>5000</v>
      </c>
      <c r="D9" s="31">
        <f t="shared" ref="D9:N9" ca="1" si="2">D5 + D8</f>
        <v>5000</v>
      </c>
      <c r="E9" s="31">
        <f t="shared" ca="1" si="2"/>
        <v>5000</v>
      </c>
      <c r="F9" s="31">
        <f t="shared" ca="1" si="2"/>
        <v>5000</v>
      </c>
      <c r="G9" s="31">
        <f t="shared" ca="1" si="2"/>
        <v>5000</v>
      </c>
      <c r="H9" s="31">
        <f t="shared" ca="1" si="2"/>
        <v>5000</v>
      </c>
      <c r="I9" s="31">
        <f t="shared" ca="1" si="2"/>
        <v>5000</v>
      </c>
      <c r="J9" s="31">
        <f t="shared" ca="1" si="2"/>
        <v>5000</v>
      </c>
      <c r="K9" s="31">
        <f t="shared" ca="1" si="2"/>
        <v>5000</v>
      </c>
      <c r="L9" s="31">
        <f t="shared" ca="1" si="2"/>
        <v>5000</v>
      </c>
      <c r="M9" s="31">
        <f t="shared" ca="1" si="2"/>
        <v>5000</v>
      </c>
      <c r="N9" s="31">
        <f t="shared" ca="1" si="2"/>
        <v>5000</v>
      </c>
      <c r="O9" s="50">
        <f ca="1">N9</f>
        <v>5000</v>
      </c>
    </row>
    <row r="10" spans="2:15" x14ac:dyDescent="0.25">
      <c r="B10" s="1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15" ht="15" customHeight="1" x14ac:dyDescent="0.25"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2:15" ht="20.100000000000001" customHeight="1" x14ac:dyDescent="0.25">
      <c r="B12" s="37" t="s">
        <v>35</v>
      </c>
      <c r="C12" s="31">
        <f ca="1">SUMIFS(Controle!$E:$E,Controle!$A:$A,"&gt;=" &amp;DATE(YEAR(NOW()),1,1),Controle!$A:$A,"&lt;"&amp;DATE(YEAR(NOW()),2,1),Controle!$I:$I,"Não Pago",Controle!$D:$D,"Receita")</f>
        <v>0</v>
      </c>
      <c r="D12" s="31">
        <f ca="1">SUMIFS(Controle!$E:$E,Controle!$A:$A,"&gt;=" &amp;DATE(YEAR(NOW()),2,1),Controle!$A:$A,"&lt;"&amp;DATE(YEAR(NOW()),3,1),Controle!$I:$I,"Não Pago",Controle!$D:$D,"Receita")</f>
        <v>0</v>
      </c>
      <c r="E12" s="31">
        <f ca="1">SUMIFS(Controle!$E:$E,Controle!$A:$A,"&gt;=" &amp;DATE(YEAR(NOW()),3,1),Controle!$A:$A,"&lt;"&amp;DATE(YEAR(NOW()),4,1),Controle!$I:$I,"Não Pago",Controle!$D:$D,"Receita")</f>
        <v>0</v>
      </c>
      <c r="F12" s="31">
        <f ca="1">SUMIFS(Controle!$E:$E,Controle!$A:$A,"&gt;=" &amp;DATE(YEAR(NOW()),4,1),Controle!$A:$A,"&lt;"&amp;DATE(YEAR(NOW()),5,1),Controle!$I:$I,"Não Pago",Controle!$D:$D,"Receita")</f>
        <v>0</v>
      </c>
      <c r="G12" s="31">
        <f ca="1">SUMIFS(Controle!$E:$E,Controle!$A:$A,"&gt;=" &amp;DATE(YEAR(NOW()),5,1),Controle!$A:$A,"&lt;"&amp;DATE(YEAR(NOW()),6,1),Controle!$I:$I,"Não Pago",Controle!$D:$D,"Receita")</f>
        <v>0</v>
      </c>
      <c r="H12" s="31">
        <f ca="1">SUMIFS(Controle!$E:$E,Controle!$A:$A,"&gt;=" &amp;DATE(YEAR(NOW()),6,1),Controle!$A:$A,"&lt;"&amp;DATE(YEAR(NOW()),7,1),Controle!$I:$I,"Não Pago",Controle!$D:$D,"Receita")</f>
        <v>0</v>
      </c>
      <c r="I12" s="31">
        <f ca="1">SUMIFS(Controle!$E:$E,Controle!$A:$A,"&gt;=" &amp;DATE(YEAR(NOW()),7,1),Controle!$A:$A,"&lt;"&amp;DATE(YEAR(NOW()),8,1),Controle!$I:$I,"Não Pago",Controle!$D:$D,"Receita")</f>
        <v>0</v>
      </c>
      <c r="J12" s="31">
        <f ca="1">SUMIFS(Controle!$E:$E,Controle!$A:$A,"&gt;=" &amp;DATE(YEAR(NOW()),8,1),Controle!$A:$A,"&lt;"&amp;DATE(YEAR(NOW()),9,1),Controle!$I:$I,"Não Pago",Controle!$D:$D,"Receita")</f>
        <v>0</v>
      </c>
      <c r="K12" s="31">
        <f ca="1">SUMIFS(Controle!$E:$E,Controle!$A:$A,"&gt;=" &amp;DATE(YEAR(NOW()),9,1),Controle!$A:$A,"&lt;"&amp;DATE(YEAR(NOW()),10,1),Controle!$I:$I,"Não Pago",Controle!$D:$D,"Receita")</f>
        <v>0</v>
      </c>
      <c r="L12" s="31">
        <f ca="1">SUMIFS(Controle!$E:$E,Controle!$A:$A,"&gt;=" &amp;DATE(YEAR(NOW()),10,1),Controle!$A:$A,"&lt;"&amp;DATE(YEAR(NOW()),11,1),Controle!$I:$I,"Não Pago",Controle!$D:$D,"Receita")</f>
        <v>0</v>
      </c>
      <c r="M12" s="31">
        <f ca="1">SUMIFS(Controle!$E:$E,Controle!$A:$A,"&gt;=" &amp;DATE(YEAR(NOW()),11,1),Controle!$A:$A,"&lt;"&amp;DATE(YEAR(NOW()),12,1),Controle!$I:$I,"Não Pago",Controle!$D:$D,"Receita")</f>
        <v>0</v>
      </c>
      <c r="N12" s="31">
        <f ca="1">SUMIFS(Controle!$E:$E,Controle!$A:$A,"&gt;=" &amp;DATE(YEAR(NOW()),12,1),Controle!$A:$A,"&lt;"&amp;DATE(YEAR(NOW()),1,1),Controle!$I:$I,"Não Pago",Controle!$D:$D,"Receita")</f>
        <v>0</v>
      </c>
      <c r="O12" s="51">
        <f ca="1">SUM(C12:N12)</f>
        <v>0</v>
      </c>
    </row>
    <row r="13" spans="2:15" ht="20.100000000000001" customHeight="1" x14ac:dyDescent="0.25">
      <c r="B13" s="38" t="s">
        <v>36</v>
      </c>
      <c r="C13" s="31">
        <f ca="1">SUMIFS(Controle!$E:$E,Controle!$A:$A,"&gt;=" &amp;DATE(YEAR(NOW()),1,1),Controle!$A:$A,"&lt;"&amp;DATE(YEAR(NOW()),2,1),Controle!$I:$I,"Não Pago",Controle!$D:$D,"Despesa")</f>
        <v>0</v>
      </c>
      <c r="D13" s="31">
        <f ca="1">SUMIFS(Controle!$E:$E,Controle!$A:$A,"&gt;=" &amp;DATE(YEAR(NOW()),2,1),Controle!$A:$A,"&lt;"&amp;DATE(YEAR(NOW()),3,1),Controle!$I:$I,"Não Pago",Controle!$D:$D,"Despesa")</f>
        <v>0</v>
      </c>
      <c r="E13" s="31">
        <f ca="1">SUMIFS(Controle!$E:$E,Controle!$A:$A,"&gt;=" &amp;DATE(YEAR(NOW()),3,1),Controle!$A:$A,"&lt;"&amp;DATE(YEAR(NOW()),4,1),Controle!$I:$I,"Não Pago",Controle!$D:$D,"Despesa")</f>
        <v>0</v>
      </c>
      <c r="F13" s="31">
        <f ca="1">SUMIFS(Controle!$E:$E,Controle!$A:$A,"&gt;=" &amp;DATE(YEAR(NOW()),4,1),Controle!$A:$A,"&lt;"&amp;DATE(YEAR(NOW()),5,1),Controle!$I:$I,"Não Pago",Controle!$D:$D,"Despesa")</f>
        <v>0</v>
      </c>
      <c r="G13" s="31">
        <f ca="1">SUMIFS(Controle!$E:$E,Controle!$A:$A,"&gt;=" &amp;DATE(YEAR(NOW()),5,1),Controle!$A:$A,"&lt;"&amp;DATE(YEAR(NOW()),6,1),Controle!$I:$I,"Não Pago",Controle!$D:$D,"Despesa")</f>
        <v>0</v>
      </c>
      <c r="H13" s="31">
        <f ca="1">SUMIFS(Controle!$E:$E,Controle!$A:$A,"&gt;=" &amp;DATE(YEAR(NOW()),6,1),Controle!$A:$A,"&lt;"&amp;DATE(YEAR(NOW()),7,1),Controle!$I:$I,"Não Pago",Controle!$D:$D,"Despesa")</f>
        <v>0</v>
      </c>
      <c r="I13" s="31">
        <f ca="1">SUMIFS(Controle!$E:$E,Controle!$A:$A,"&gt;=" &amp;DATE(YEAR(NOW()),7,1),Controle!$A:$A,"&lt;"&amp;DATE(YEAR(NOW()),8,1),Controle!$I:$I,"Não Pago",Controle!$D:$D,"Despesa")</f>
        <v>0</v>
      </c>
      <c r="J13" s="31">
        <f ca="1">SUMIFS(Controle!$E:$E,Controle!$A:$A,"&gt;=" &amp;DATE(YEAR(NOW()),8,1),Controle!$A:$A,"&lt;"&amp;DATE(YEAR(NOW()),9,1),Controle!$I:$I,"Não Pago",Controle!$D:$D,"Despesa")</f>
        <v>0</v>
      </c>
      <c r="K13" s="31">
        <f ca="1">SUMIFS(Controle!$E:$E,Controle!$A:$A,"&gt;=" &amp;DATE(YEAR(NOW()),9,1),Controle!$A:$A,"&lt;"&amp;DATE(YEAR(NOW()),10,1),Controle!$I:$I,"Não Pago",Controle!$D:$D,"Despesa")</f>
        <v>0</v>
      </c>
      <c r="L13" s="31">
        <f ca="1">SUMIFS(Controle!$E:$E,Controle!$A:$A,"&gt;=" &amp;DATE(YEAR(NOW()),10,1),Controle!$A:$A,"&lt;"&amp;DATE(YEAR(NOW()),11,1),Controle!$I:$I,"Não Pago",Controle!$D:$D,"Despesa")</f>
        <v>0</v>
      </c>
      <c r="M13" s="31">
        <f ca="1">SUMIFS(Controle!$E:$E,Controle!$A:$A,"&gt;=" &amp;DATE(YEAR(NOW()),11,1),Controle!$A:$A,"&lt;"&amp;DATE(YEAR(NOW()),12,1),Controle!$I:$I,"Não Pago",Controle!$D:$D,"Despesa")</f>
        <v>0</v>
      </c>
      <c r="N13" s="31">
        <f ca="1">SUMIFS(Controle!$E:$E,Controle!$A:$A,"&gt;=" &amp;DATE(YEAR(NOW()),12,1),Controle!$A:$A,"&lt;"&amp;DATE(YEAR(NOW()),1,1),Controle!$I:$I,"Não Pago",Controle!$D:$D,"Despesa")</f>
        <v>0</v>
      </c>
      <c r="O13" s="52">
        <f ca="1">SUM(C13:N13)</f>
        <v>0</v>
      </c>
    </row>
    <row r="14" spans="2:15" ht="20.100000000000001" customHeight="1" x14ac:dyDescent="0.25">
      <c r="B14" s="36" t="s">
        <v>37</v>
      </c>
      <c r="C14" s="31">
        <f ca="1">C12-C13</f>
        <v>0</v>
      </c>
      <c r="D14" s="31">
        <f t="shared" ref="D14:N14" ca="1" si="3">D12-D13</f>
        <v>0</v>
      </c>
      <c r="E14" s="31">
        <f t="shared" ca="1" si="3"/>
        <v>0</v>
      </c>
      <c r="F14" s="31">
        <f t="shared" ca="1" si="3"/>
        <v>0</v>
      </c>
      <c r="G14" s="31">
        <f t="shared" ca="1" si="3"/>
        <v>0</v>
      </c>
      <c r="H14" s="31">
        <f t="shared" ca="1" si="3"/>
        <v>0</v>
      </c>
      <c r="I14" s="31">
        <f t="shared" ca="1" si="3"/>
        <v>0</v>
      </c>
      <c r="J14" s="31">
        <f t="shared" ca="1" si="3"/>
        <v>0</v>
      </c>
      <c r="K14" s="31">
        <f t="shared" ca="1" si="3"/>
        <v>0</v>
      </c>
      <c r="L14" s="31">
        <f t="shared" ca="1" si="3"/>
        <v>0</v>
      </c>
      <c r="M14" s="31">
        <f t="shared" ca="1" si="3"/>
        <v>0</v>
      </c>
      <c r="N14" s="31">
        <f t="shared" ca="1" si="3"/>
        <v>0</v>
      </c>
      <c r="O14" s="53">
        <f ca="1">SUM(C14:N14)</f>
        <v>0</v>
      </c>
    </row>
  </sheetData>
  <phoneticPr fontId="5" type="noConversion"/>
  <conditionalFormatting sqref="C8:N9">
    <cfRule type="cellIs" dxfId="2" priority="3" operator="greaterThan">
      <formula>0</formula>
    </cfRule>
    <cfRule type="cellIs" dxfId="1" priority="2" operator="lessThan">
      <formula>0</formula>
    </cfRule>
  </conditionalFormatting>
  <conditionalFormatting sqref="C14:N14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D085-3A2A-4E68-BB85-DEE4D7F364B5}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Cadastro Inicial</vt:lpstr>
      <vt:lpstr>Controle</vt:lpstr>
      <vt:lpstr>Metas</vt:lpstr>
      <vt:lpstr>Fluxo Caixa</vt:lpstr>
      <vt:lpstr>MetaXRealizado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2025-01-30T16:36:04Z</dcterms:modified>
</cp:coreProperties>
</file>